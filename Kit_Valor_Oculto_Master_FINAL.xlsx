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4"/>
    <sheet state="visible" name="Respuestas (old)" sheetId="2" r:id="rId5"/>
    <sheet state="visible" name="Base_TipoCiudad" sheetId="3" r:id="rId6"/>
    <sheet state="visible" name="Arquetipos_Deltas" sheetId="4" r:id="rId7"/>
    <sheet state="visible" name="Arquetipos_Info" sheetId="5" r:id="rId8"/>
    <sheet state="visible" name="Semaforo_Pesos" sheetId="6" r:id="rId9"/>
    <sheet state="visible" name="Defaults_por_respuesta" sheetId="7" r:id="rId10"/>
    <sheet state="visible" name="Riesgo_Total" sheetId="8" r:id="rId11"/>
    <sheet state="visible" name="Calculos_Escenarios" sheetId="9" r:id="rId12"/>
    <sheet state="visible" name="s_Info" sheetId="10" r:id="rId13"/>
    <sheet state="visible" name="Reporte_1Pager_Data" sheetId="11" r:id="rId14"/>
  </sheets>
  <definedNames/>
  <calcPr/>
</workbook>
</file>

<file path=xl/sharedStrings.xml><?xml version="1.0" encoding="utf-8"?>
<sst xmlns="http://schemas.openxmlformats.org/spreadsheetml/2006/main" count="390" uniqueCount="190">
  <si>
    <t>Columna 1</t>
  </si>
  <si>
    <t>clave_acceso</t>
  </si>
  <si>
    <t>tipo_propiedad</t>
  </si>
  <si>
    <t>ubicacion</t>
  </si>
  <si>
    <t>tipo_ciudad (A/B/C/D)</t>
  </si>
  <si>
    <t>arquetipo (CHT/CBD/FRA/CMS/CLI/PRN)</t>
  </si>
  <si>
    <t>zona (opcional)</t>
  </si>
  <si>
    <t>valor_mercado_hoy_MXN</t>
  </si>
  <si>
    <t>horizonte_meses</t>
  </si>
  <si>
    <t>planea_construir (Si/No)</t>
  </si>
  <si>
    <t>m2_construccion</t>
  </si>
  <si>
    <t>costo_m2_MXN</t>
  </si>
  <si>
    <t>meses_obra</t>
  </si>
  <si>
    <t>destino_post (Rentar/Vender/No se)</t>
  </si>
  <si>
    <t>renta_post_MXN</t>
  </si>
  <si>
    <t>precio_venta_post_MXN</t>
  </si>
  <si>
    <t>costos_post_MXN</t>
  </si>
  <si>
    <t>renta_mensual_actual_MXN</t>
  </si>
  <si>
    <t>ocupacion_esperada_(0-1_o_% )</t>
  </si>
  <si>
    <t>gasto_mensual_propiedad_MXN</t>
  </si>
  <si>
    <t>meses_para_vender_hoy</t>
  </si>
  <si>
    <t>pct_costos_venta (ej. 6%)</t>
  </si>
  <si>
    <t>risk_legal</t>
  </si>
  <si>
    <t>risk_servicios</t>
  </si>
  <si>
    <t>risk_mercado</t>
  </si>
  <si>
    <t>risk_seguridad</t>
  </si>
  <si>
    <t>risk_accesos</t>
  </si>
  <si>
    <t>risk_fisicos</t>
  </si>
  <si>
    <t>risk_condominio</t>
  </si>
  <si>
    <t>risk_obra_publica</t>
  </si>
  <si>
    <t>risk_competencia</t>
  </si>
  <si>
    <t>nombre</t>
  </si>
  <si>
    <t>email</t>
  </si>
  <si>
    <t>whatsapp</t>
  </si>
  <si>
    <t>Acepto la nota: Entiendo que este resultado no es asesoría personalizada y depende de mis datos y del mercado.</t>
  </si>
  <si>
    <t>VALOROCULTO</t>
  </si>
  <si>
    <t>Terreno</t>
  </si>
  <si>
    <t>CENTRO/ CUAUTITLAN / EDO MEX</t>
  </si>
  <si>
    <t>C</t>
  </si>
  <si>
    <t>CMS</t>
  </si>
  <si>
    <t>Periférica</t>
  </si>
  <si>
    <t>Si</t>
  </si>
  <si>
    <t>9+</t>
  </si>
  <si>
    <t>No se</t>
  </si>
  <si>
    <t>No</t>
  </si>
  <si>
    <t>ERNESTO OROZCO</t>
  </si>
  <si>
    <t>ernestoorozcosolares@gmail.com</t>
  </si>
  <si>
    <t>+5215655693975</t>
  </si>
  <si>
    <t>Casa</t>
  </si>
  <si>
    <t>CENTRO CUAUTITLÁN ESTADO DE MEXICO</t>
  </si>
  <si>
    <t>PRN</t>
  </si>
  <si>
    <t>No sé</t>
  </si>
  <si>
    <t>Vender</t>
  </si>
  <si>
    <t>7+</t>
  </si>
  <si>
    <t>acepto</t>
  </si>
  <si>
    <t>CENTRO DE CUAUTITLAN ESTADO DE MEXICO</t>
  </si>
  <si>
    <t>B</t>
  </si>
  <si>
    <t>CBD</t>
  </si>
  <si>
    <t>ernesto Orozco</t>
  </si>
  <si>
    <t>Departamento</t>
  </si>
  <si>
    <t>CENTRO CUAUTITLAN ESTADO DE MEXICO</t>
  </si>
  <si>
    <t>Intermedia</t>
  </si>
  <si>
    <t>$3,500.00</t>
  </si>
  <si>
    <t>ERNESTO SOLARES</t>
  </si>
  <si>
    <t>e@o.com.mx</t>
  </si>
  <si>
    <t>Respuestas del Form (una fila por cliente)</t>
  </si>
  <si>
    <t>timestamp</t>
  </si>
  <si>
    <t>Nota:</t>
  </si>
  <si>
    <t>Si en tu Form usas una sola pregunta con casillas múltiples para riesgos, conviértelas a 0/1 en estas columnas con n8n.</t>
  </si>
  <si>
    <t>Valores prudentes base por Tipo de ciudad (A/B/C/D)</t>
  </si>
  <si>
    <t>Variable_key</t>
  </si>
  <si>
    <t>Unidad/nota</t>
  </si>
  <si>
    <t>A Metrópoli top</t>
  </si>
  <si>
    <t>B Capital/Regional</t>
  </si>
  <si>
    <t>C Mediana/Satélite</t>
  </si>
  <si>
    <t>D Local/Periférica</t>
  </si>
  <si>
    <t>meses_vender</t>
  </si>
  <si>
    <t>meses</t>
  </si>
  <si>
    <t>ocupacion_hoy</t>
  </si>
  <si>
    <t>0–1</t>
  </si>
  <si>
    <t>gasto_mensual_pct_valor</t>
  </si>
  <si>
    <t>% del valor/mes</t>
  </si>
  <si>
    <t>costos_venta_pct</t>
  </si>
  <si>
    <t>% del precio venta</t>
  </si>
  <si>
    <t>tasa_descuento_anual</t>
  </si>
  <si>
    <t>% anual</t>
  </si>
  <si>
    <t>plusvalia_anual</t>
  </si>
  <si>
    <t>meses (default si vacío)</t>
  </si>
  <si>
    <t>costo_m2</t>
  </si>
  <si>
    <t>MXN/m² (obra sencilla)</t>
  </si>
  <si>
    <t>permisos_otros_mxn</t>
  </si>
  <si>
    <t>MXN (licencias, conexiones, imprev.)</t>
  </si>
  <si>
    <t>ocupacion_post</t>
  </si>
  <si>
    <t>renta_post_pct_valor_post</t>
  </si>
  <si>
    <t>% del valor post-obra/mes</t>
  </si>
  <si>
    <t>costos_post_pct_valor_post</t>
  </si>
  <si>
    <t>Ajustes por Arquetipo (Δ sobre la base del Tipo de ciudad)</t>
  </si>
  <si>
    <t>Arquetipo</t>
  </si>
  <si>
    <t>Descripción breve</t>
  </si>
  <si>
    <t>Δ_meses_vender</t>
  </si>
  <si>
    <t>Δ_ocupacion_hoy</t>
  </si>
  <si>
    <t>Δ_gasto_mensual_pct_valor</t>
  </si>
  <si>
    <t>Δ_costos_venta_pct</t>
  </si>
  <si>
    <t>Δ_tasa_descuento_anual</t>
  </si>
  <si>
    <t>Δ_plusvalia_anual</t>
  </si>
  <si>
    <t>Δ_horizonte_meses</t>
  </si>
  <si>
    <t>Δ_costo_m2</t>
  </si>
  <si>
    <t>Δ_meses_obra</t>
  </si>
  <si>
    <t>Δ_permisos_otros_mxn</t>
  </si>
  <si>
    <t>Δ_ocupacion_post</t>
  </si>
  <si>
    <t>Δ_renta_post_pct_valor_post</t>
  </si>
  <si>
    <t>Δ_costos_post_pct_valor_post</t>
  </si>
  <si>
    <t>CHT</t>
  </si>
  <si>
    <t>Centro histórico/tradicional (denso, mixto, restaurado)</t>
  </si>
  <si>
    <t>Corredor de negocios/servicios (prime, obra mixta)</t>
  </si>
  <si>
    <t>FRA</t>
  </si>
  <si>
    <t>Residencial 1er anillo alto (anclas, ingresos altos)</t>
  </si>
  <si>
    <t>Centro municipal secundario (demanda local)</t>
  </si>
  <si>
    <t>CLI</t>
  </si>
  <si>
    <t>Corredor logístico/industrial (servicios a parque)</t>
  </si>
  <si>
    <t>Periferia residencial nueva (servicios en desarrollo)</t>
  </si>
  <si>
    <t>Arquetipos (ícono + descripción)</t>
  </si>
  <si>
    <t>Ícono</t>
  </si>
  <si>
    <t>Descripción</t>
  </si>
  <si>
    <t>🏛️</t>
  </si>
  <si>
    <t>Núcleo histórico/mixto, alto flujo peatonal; posibles restricciones patrimoniales.</t>
  </si>
  <si>
    <t>🏙️</t>
  </si>
  <si>
    <t>Corredor de oficinas/servicios prime; obra y costos más altos.</t>
  </si>
  <si>
    <t>🏡</t>
  </si>
  <si>
    <t>Residencial consolidado de 1er anillo con anclas y poder adquisitivo.</t>
  </si>
  <si>
    <t>🧭</t>
  </si>
  <si>
    <t>Centro municipal activo con demanda local y valores intermedios.</t>
  </si>
  <si>
    <t>🏭</t>
  </si>
  <si>
    <t>Zona logística/industrial; servicios para parques y empleo.</t>
  </si>
  <si>
    <t>🧱</t>
  </si>
  <si>
    <t>Periferia en expansión; fricción mayor y servicios en desarrollo.</t>
  </si>
  <si>
    <t>Pesos del Semáforo de riesgo (suma 1.00)</t>
  </si>
  <si>
    <t>Señal</t>
  </si>
  <si>
    <t>Peso</t>
  </si>
  <si>
    <t>Defaults combinados por Tipo de ciudad + Arquetipo (fila 2 de Respuestas)</t>
  </si>
  <si>
    <t>Tipo de ciudad</t>
  </si>
  <si>
    <t>Valor mercado hoy (MXN)</t>
  </si>
  <si>
    <t>Base (Tipo)</t>
  </si>
  <si>
    <t>Δ (Arquetipo)</t>
  </si>
  <si>
    <t>Resultado Default</t>
  </si>
  <si>
    <t>Override (Respuestas)</t>
  </si>
  <si>
    <t>Usado</t>
  </si>
  <si>
    <t>MXN/m²</t>
  </si>
  <si>
    <t>MXN (licencias, conexiones, imprevistos)</t>
  </si>
  <si>
    <t>gasto_mensual_usado_MXN</t>
  </si>
  <si>
    <t>MXN/mes</t>
  </si>
  <si>
    <t>costos_post_usado_MXN</t>
  </si>
  <si>
    <t>renta_post_usado_MXN</t>
  </si>
  <si>
    <t>Riesgo total (fila 2 de Respuestas)</t>
  </si>
  <si>
    <t>Suma ponderada</t>
  </si>
  <si>
    <t>Detalle</t>
  </si>
  <si>
    <t>Usa 0/1 en columnas de riesgo de 'Respuestas'. Suma esperada 0.00–1.00</t>
  </si>
  <si>
    <t>Cálculos de escenarios (usa fila 2 de Respuestas + Defaults)</t>
  </si>
  <si>
    <t>valor_hoy_MXN</t>
  </si>
  <si>
    <t>MXN</t>
  </si>
  <si>
    <t>%</t>
  </si>
  <si>
    <t>gasto_mensual_MXN</t>
  </si>
  <si>
    <t>renta_hoy_pct_valor</t>
  </si>
  <si>
    <t>renta_hoy_MXN</t>
  </si>
  <si>
    <t>m²</t>
  </si>
  <si>
    <t>permisos_MXN</t>
  </si>
  <si>
    <t>capex_total_MXN</t>
  </si>
  <si>
    <t>valor_post_obra_MXN</t>
  </si>
  <si>
    <t>tasa_mensual</t>
  </si>
  <si>
    <t>g_mensual_plusvalia</t>
  </si>
  <si>
    <t>n_renta_sin_obra</t>
  </si>
  <si>
    <t>n_post_obra</t>
  </si>
  <si>
    <t>Escenario</t>
  </si>
  <si>
    <t>NPV (MXN)</t>
  </si>
  <si>
    <t>Vender ahora</t>
  </si>
  <si>
    <t>Rentar (sin obra)</t>
  </si>
  <si>
    <t>Construir &amp; vender</t>
  </si>
  <si>
    <t>Construir &amp; rentar</t>
  </si>
  <si>
    <t>Esperar</t>
  </si>
  <si>
    <t>ultims fila</t>
  </si>
  <si>
    <t>Resumen para 1-pager</t>
  </si>
  <si>
    <t>Notas</t>
  </si>
  <si>
    <t>Rank</t>
  </si>
  <si>
    <t>Ganador</t>
  </si>
  <si>
    <t>NPV ganador (MXN)</t>
  </si>
  <si>
    <t>Segundo lugar (NPV)</t>
  </si>
  <si>
    <t>Ventaja % vs 2º</t>
  </si>
  <si>
    <t>Riesgo total (0–1)</t>
  </si>
  <si>
    <t>Recomendación final</t>
  </si>
  <si>
    <t>Nota explicativa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</si>
</sst>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$#,##0"/>
    <numFmt numFmtId="166" formatCode="[$$]#,##0.00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i/>
      <sz val="9.0"/>
      <color theme="1"/>
      <name val="Calibri"/>
    </font>
    <font>
      <sz val="11.0"/>
      <color theme="1"/>
      <name val="Calibri"/>
    </font>
    <font>
      <b/>
      <color rgb="FF0000FF"/>
      <name val="Calibri"/>
      <scheme val="minor"/>
    </font>
    <font>
      <b/>
      <sz val="11.0"/>
      <color rgb="FF0000FF"/>
      <name val="Calibri"/>
    </font>
    <font>
      <color rgb="FF000000"/>
      <name val="Calibri"/>
      <scheme val="minor"/>
    </font>
    <font>
      <b/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Font="1"/>
    <xf borderId="0" fillId="0" fontId="6" numFmtId="1" xfId="0" applyFont="1" applyNumberFormat="1"/>
    <xf borderId="0" fillId="0" fontId="6" numFmtId="10" xfId="0" applyFont="1" applyNumberFormat="1"/>
    <xf borderId="0" fillId="0" fontId="6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/>
    </xf>
    <xf borderId="0" fillId="0" fontId="8" numFmtId="165" xfId="0" applyAlignment="1" applyFont="1" applyNumberFormat="1">
      <alignment horizontal="left"/>
    </xf>
    <xf borderId="0" fillId="0" fontId="1" numFmtId="1" xfId="0" applyFont="1" applyNumberFormat="1"/>
    <xf borderId="0" fillId="0" fontId="1" numFmtId="10" xfId="0" applyFont="1" applyNumberFormat="1"/>
    <xf borderId="0" fillId="0" fontId="1" numFmtId="9" xfId="0" applyFont="1" applyNumberFormat="1"/>
    <xf borderId="0" fillId="0" fontId="1" numFmtId="165" xfId="0" applyFont="1" applyNumberFormat="1"/>
    <xf borderId="0" fillId="0" fontId="4" numFmtId="0" xfId="0" applyAlignment="1" applyFont="1">
      <alignment readingOrder="0"/>
    </xf>
    <xf borderId="0" fillId="0" fontId="1" numFmtId="10" xfId="0" applyAlignment="1" applyFont="1" applyNumberFormat="1">
      <alignment horizontal="center"/>
    </xf>
    <xf borderId="0" fillId="0" fontId="3" numFmtId="166" xfId="0" applyFont="1" applyNumberFormat="1"/>
    <xf borderId="0" fillId="0" fontId="6" numFmtId="4" xfId="0" applyFont="1" applyNumberFormat="1"/>
    <xf borderId="0" fillId="0" fontId="6" numFmtId="166" xfId="0" applyFont="1" applyNumberFormat="1"/>
    <xf borderId="0" fillId="0" fontId="6" numFmtId="0" xfId="0" applyFont="1"/>
    <xf borderId="0" fillId="0" fontId="1" numFmtId="166" xfId="0" applyFont="1" applyNumberForma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9" numFmtId="0" xfId="0" applyFont="1"/>
    <xf borderId="0" fillId="0" fontId="6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5" displayName="Form_Responses" name="Form_Responses" id="1">
  <tableColumns count="35">
    <tableColumn name="Columna 1" id="1"/>
    <tableColumn name="clave_acceso" id="2"/>
    <tableColumn name="tipo_propiedad" id="3"/>
    <tableColumn name="ubicacion" id="4"/>
    <tableColumn name="tipo_ciudad (A/B/C/D)" id="5"/>
    <tableColumn name="arquetipo (CHT/CBD/FRA/CMS/CLI/PRN)" id="6"/>
    <tableColumn name="zona (opcional)" id="7"/>
    <tableColumn name="valor_mercado_hoy_MXN" id="8"/>
    <tableColumn name="horizonte_meses" id="9"/>
    <tableColumn name="planea_construir (Si/No)" id="10"/>
    <tableColumn name="m2_construccion" id="11"/>
    <tableColumn name="costo_m2_MXN" id="12"/>
    <tableColumn name="meses_obra" id="13"/>
    <tableColumn name="destino_post (Rentar/Vender/No se)" id="14"/>
    <tableColumn name="renta_post_MXN" id="15"/>
    <tableColumn name="precio_venta_post_MXN" id="16"/>
    <tableColumn name="costos_post_MXN" id="17"/>
    <tableColumn name="renta_mensual_actual_MXN" id="18"/>
    <tableColumn name="ocupacion_esperada_(0-1_o_% )" id="19"/>
    <tableColumn name="gasto_mensual_propiedad_MXN" id="20"/>
    <tableColumn name="meses_para_vender_hoy" id="21"/>
    <tableColumn name="pct_costos_venta (ej. 6%)" id="22"/>
    <tableColumn name="risk_legal" id="23"/>
    <tableColumn name="risk_servicios" id="24"/>
    <tableColumn name="risk_mercado" id="25"/>
    <tableColumn name="risk_seguridad" id="26"/>
    <tableColumn name="risk_accesos" id="27"/>
    <tableColumn name="risk_fisicos" id="28"/>
    <tableColumn name="risk_condominio" id="29"/>
    <tableColumn name="risk_obra_publica" id="30"/>
    <tableColumn name="risk_competencia" id="31"/>
    <tableColumn name="nombre" id="32"/>
    <tableColumn name="email" id="33"/>
    <tableColumn name="whatsapp" id="34"/>
    <tableColumn name="Acepto la nota: Entiendo que este resultado no es asesoría personalizada y depende de mis datos y del mercado." id="35"/>
  </tableColumns>
  <tableStyleInfo name="Respue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1.57"/>
    <col customWidth="1" min="4" max="4" width="46.29"/>
    <col customWidth="1" min="5" max="15" width="21.57"/>
    <col customWidth="1" min="16" max="16" width="29.57"/>
    <col customWidth="1" min="17" max="17" width="25.57"/>
    <col customWidth="1" min="18" max="41" width="2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4" t="s">
        <v>34</v>
      </c>
    </row>
    <row r="2">
      <c r="A2" s="5">
        <v>45908.664198391205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>
        <v>2000000.0</v>
      </c>
      <c r="I2" s="6">
        <v>36.0</v>
      </c>
      <c r="J2" s="6" t="s">
        <v>41</v>
      </c>
      <c r="K2" s="6">
        <v>200.0</v>
      </c>
      <c r="L2" s="7"/>
      <c r="M2" s="6" t="s">
        <v>42</v>
      </c>
      <c r="N2" s="6" t="s">
        <v>43</v>
      </c>
      <c r="O2" s="7"/>
      <c r="P2" s="7"/>
      <c r="Q2" s="7"/>
      <c r="R2" s="6">
        <v>50000.0</v>
      </c>
      <c r="S2" s="7"/>
      <c r="T2" s="6">
        <v>3500.0</v>
      </c>
      <c r="U2" s="6">
        <v>5.0</v>
      </c>
      <c r="V2" s="8">
        <v>0.07</v>
      </c>
      <c r="W2" s="6" t="s">
        <v>41</v>
      </c>
      <c r="X2" s="6" t="s">
        <v>44</v>
      </c>
      <c r="Y2" s="6" t="s">
        <v>44</v>
      </c>
      <c r="Z2" s="6" t="s">
        <v>41</v>
      </c>
      <c r="AA2" s="7"/>
      <c r="AB2" s="6" t="s">
        <v>44</v>
      </c>
      <c r="AC2" s="6" t="s">
        <v>44</v>
      </c>
      <c r="AD2" s="7"/>
      <c r="AE2" s="6" t="s">
        <v>41</v>
      </c>
      <c r="AF2" s="6" t="s">
        <v>45</v>
      </c>
      <c r="AG2" s="6" t="s">
        <v>46</v>
      </c>
      <c r="AH2" s="6" t="s">
        <v>47</v>
      </c>
      <c r="AI2" s="9"/>
    </row>
    <row r="3">
      <c r="A3" s="10">
        <v>45908.67861375</v>
      </c>
      <c r="B3" s="11" t="s">
        <v>35</v>
      </c>
      <c r="C3" s="11" t="s">
        <v>48</v>
      </c>
      <c r="D3" s="11" t="s">
        <v>49</v>
      </c>
      <c r="E3" s="11" t="s">
        <v>38</v>
      </c>
      <c r="F3" s="11" t="s">
        <v>50</v>
      </c>
      <c r="G3" s="11" t="s">
        <v>51</v>
      </c>
      <c r="H3" s="11">
        <v>2000000.0</v>
      </c>
      <c r="I3" s="11">
        <v>24.0</v>
      </c>
      <c r="J3" s="11" t="s">
        <v>41</v>
      </c>
      <c r="K3" s="11">
        <v>350.0</v>
      </c>
      <c r="L3" s="11">
        <v>11.0</v>
      </c>
      <c r="M3" s="11" t="s">
        <v>42</v>
      </c>
      <c r="N3" s="11" t="s">
        <v>52</v>
      </c>
      <c r="O3" s="11">
        <v>35800.0</v>
      </c>
      <c r="U3" s="11" t="s">
        <v>53</v>
      </c>
      <c r="V3" s="12">
        <v>0.08</v>
      </c>
      <c r="W3" s="11" t="s">
        <v>41</v>
      </c>
      <c r="X3" s="11" t="s">
        <v>44</v>
      </c>
      <c r="Y3" s="11" t="s">
        <v>41</v>
      </c>
      <c r="Z3" s="11" t="s">
        <v>41</v>
      </c>
      <c r="AA3" s="11" t="s">
        <v>41</v>
      </c>
      <c r="AB3" s="11" t="s">
        <v>41</v>
      </c>
      <c r="AC3" s="11" t="s">
        <v>44</v>
      </c>
      <c r="AD3" s="11" t="s">
        <v>44</v>
      </c>
      <c r="AE3" s="11" t="s">
        <v>41</v>
      </c>
      <c r="AF3" s="11" t="s">
        <v>45</v>
      </c>
      <c r="AG3" s="11" t="s">
        <v>46</v>
      </c>
      <c r="AH3" s="11" t="s">
        <v>47</v>
      </c>
      <c r="AI3" s="13" t="s">
        <v>54</v>
      </c>
    </row>
    <row r="4">
      <c r="A4" s="14">
        <v>45908.69876555556</v>
      </c>
      <c r="B4" s="15" t="s">
        <v>35</v>
      </c>
      <c r="C4" s="15" t="s">
        <v>48</v>
      </c>
      <c r="D4" s="15" t="s">
        <v>55</v>
      </c>
      <c r="E4" s="15" t="s">
        <v>56</v>
      </c>
      <c r="F4" s="15" t="s">
        <v>57</v>
      </c>
      <c r="G4" s="15" t="s">
        <v>40</v>
      </c>
      <c r="H4" s="15">
        <v>2200000.0</v>
      </c>
      <c r="I4" s="15">
        <v>36.0</v>
      </c>
      <c r="J4" s="15" t="s">
        <v>41</v>
      </c>
      <c r="K4" s="15">
        <v>200.0</v>
      </c>
      <c r="L4" s="15">
        <v>12000.0</v>
      </c>
      <c r="M4" s="15" t="s">
        <v>42</v>
      </c>
      <c r="N4" s="15" t="s">
        <v>43</v>
      </c>
      <c r="P4" s="15">
        <v>2500000.0</v>
      </c>
      <c r="Q4" s="15">
        <v>5000.0</v>
      </c>
      <c r="R4" s="15">
        <v>18000.0</v>
      </c>
      <c r="U4" s="15" t="s">
        <v>53</v>
      </c>
      <c r="V4" s="15" t="s">
        <v>43</v>
      </c>
      <c r="W4" s="15" t="s">
        <v>41</v>
      </c>
      <c r="X4" s="15" t="s">
        <v>41</v>
      </c>
      <c r="Y4" s="15" t="s">
        <v>41</v>
      </c>
      <c r="Z4" s="15" t="s">
        <v>44</v>
      </c>
      <c r="AA4" s="15" t="s">
        <v>41</v>
      </c>
      <c r="AB4" s="15" t="s">
        <v>44</v>
      </c>
      <c r="AC4" s="15" t="s">
        <v>41</v>
      </c>
      <c r="AD4" s="15" t="s">
        <v>44</v>
      </c>
      <c r="AE4" s="15" t="s">
        <v>41</v>
      </c>
      <c r="AF4" s="15" t="s">
        <v>58</v>
      </c>
      <c r="AG4" s="15" t="s">
        <v>46</v>
      </c>
      <c r="AH4" s="15" t="s">
        <v>47</v>
      </c>
      <c r="AI4" s="16" t="s">
        <v>54</v>
      </c>
    </row>
    <row r="5">
      <c r="A5" s="17">
        <v>45909.46754936343</v>
      </c>
      <c r="B5" s="18" t="s">
        <v>35</v>
      </c>
      <c r="C5" s="18" t="s">
        <v>59</v>
      </c>
      <c r="D5" s="18" t="s">
        <v>60</v>
      </c>
      <c r="E5" s="18" t="s">
        <v>56</v>
      </c>
      <c r="F5" s="18" t="s">
        <v>57</v>
      </c>
      <c r="G5" s="18" t="s">
        <v>61</v>
      </c>
      <c r="H5" s="18">
        <v>4000000.0</v>
      </c>
      <c r="I5" s="18">
        <v>24.0</v>
      </c>
      <c r="J5" s="18" t="s">
        <v>41</v>
      </c>
      <c r="K5" s="18">
        <v>350.0</v>
      </c>
      <c r="L5" s="18">
        <v>15000.0</v>
      </c>
      <c r="M5" s="18" t="s">
        <v>42</v>
      </c>
      <c r="N5" s="18" t="s">
        <v>52</v>
      </c>
      <c r="O5" s="18">
        <v>35000.0</v>
      </c>
      <c r="P5" s="18">
        <v>4.5</v>
      </c>
      <c r="Q5" s="18">
        <v>5600.0</v>
      </c>
      <c r="R5" s="18">
        <v>35000.0</v>
      </c>
      <c r="S5" s="19">
        <v>0.5</v>
      </c>
      <c r="T5" s="18" t="s">
        <v>62</v>
      </c>
      <c r="U5" s="18" t="s">
        <v>53</v>
      </c>
      <c r="V5" s="19">
        <v>0.05</v>
      </c>
      <c r="W5" s="18" t="s">
        <v>41</v>
      </c>
      <c r="X5" s="18" t="s">
        <v>41</v>
      </c>
      <c r="Y5" s="18" t="s">
        <v>44</v>
      </c>
      <c r="Z5" s="18" t="s">
        <v>41</v>
      </c>
      <c r="AA5" s="18" t="s">
        <v>41</v>
      </c>
      <c r="AB5" s="18" t="s">
        <v>41</v>
      </c>
      <c r="AC5" s="18" t="s">
        <v>44</v>
      </c>
      <c r="AD5" s="18" t="s">
        <v>44</v>
      </c>
      <c r="AE5" s="18" t="s">
        <v>41</v>
      </c>
      <c r="AF5" s="18" t="s">
        <v>63</v>
      </c>
      <c r="AG5" s="18" t="s">
        <v>64</v>
      </c>
      <c r="AH5" s="18" t="s">
        <v>47</v>
      </c>
      <c r="AI5" s="20" t="s">
        <v>54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22.71"/>
  </cols>
  <sheetData>
    <row r="1">
      <c r="A1" s="21" t="s">
        <v>65</v>
      </c>
    </row>
    <row r="3">
      <c r="A3" s="22" t="s">
        <v>66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22" t="s">
        <v>12</v>
      </c>
      <c r="N3" s="22" t="s">
        <v>13</v>
      </c>
      <c r="O3" s="22" t="s">
        <v>14</v>
      </c>
      <c r="P3" s="22" t="s">
        <v>15</v>
      </c>
      <c r="Q3" s="22" t="s">
        <v>16</v>
      </c>
      <c r="R3" s="22" t="s">
        <v>17</v>
      </c>
      <c r="S3" s="22" t="s">
        <v>18</v>
      </c>
      <c r="T3" s="22" t="s">
        <v>19</v>
      </c>
      <c r="U3" s="22" t="s">
        <v>20</v>
      </c>
      <c r="V3" s="22" t="s">
        <v>21</v>
      </c>
      <c r="W3" s="22" t="s">
        <v>22</v>
      </c>
      <c r="X3" s="22" t="s">
        <v>23</v>
      </c>
      <c r="Y3" s="22" t="s">
        <v>24</v>
      </c>
      <c r="Z3" s="22" t="s">
        <v>25</v>
      </c>
      <c r="AA3" s="22" t="s">
        <v>26</v>
      </c>
      <c r="AB3" s="22" t="s">
        <v>27</v>
      </c>
      <c r="AC3" s="22" t="s">
        <v>28</v>
      </c>
      <c r="AD3" s="22" t="s">
        <v>29</v>
      </c>
      <c r="AE3" s="22" t="s">
        <v>30</v>
      </c>
      <c r="AF3" s="22" t="s">
        <v>31</v>
      </c>
      <c r="AG3" s="22" t="s">
        <v>32</v>
      </c>
      <c r="AH3" s="22" t="s">
        <v>33</v>
      </c>
    </row>
    <row r="5">
      <c r="A5" s="23" t="s">
        <v>67</v>
      </c>
      <c r="B5" s="24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5" width="18.71"/>
    <col customWidth="1" min="6" max="26" width="8.71"/>
  </cols>
  <sheetData>
    <row r="1">
      <c r="A1" s="21" t="s">
        <v>69</v>
      </c>
    </row>
    <row r="3">
      <c r="A3" s="22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</row>
    <row r="4">
      <c r="A4" s="25" t="s">
        <v>76</v>
      </c>
      <c r="B4" s="25" t="s">
        <v>77</v>
      </c>
      <c r="C4" s="26">
        <v>3.0</v>
      </c>
      <c r="D4" s="26">
        <v>4.0</v>
      </c>
      <c r="E4" s="26">
        <v>5.0</v>
      </c>
      <c r="F4" s="26">
        <v>6.0</v>
      </c>
    </row>
    <row r="5">
      <c r="A5" s="25" t="s">
        <v>78</v>
      </c>
      <c r="B5" s="25" t="s">
        <v>79</v>
      </c>
      <c r="C5" s="27">
        <v>0.93</v>
      </c>
      <c r="D5" s="27">
        <v>0.9</v>
      </c>
      <c r="E5" s="27">
        <v>0.87</v>
      </c>
      <c r="F5" s="27">
        <v>0.85</v>
      </c>
    </row>
    <row r="6">
      <c r="A6" s="25" t="s">
        <v>80</v>
      </c>
      <c r="B6" s="25" t="s">
        <v>81</v>
      </c>
      <c r="C6" s="27">
        <v>0.001</v>
      </c>
      <c r="D6" s="27">
        <v>8.0E-4</v>
      </c>
      <c r="E6" s="27">
        <v>7.0E-4</v>
      </c>
      <c r="F6" s="27">
        <v>6.0E-4</v>
      </c>
    </row>
    <row r="7">
      <c r="A7" s="25" t="s">
        <v>82</v>
      </c>
      <c r="B7" s="25" t="s">
        <v>83</v>
      </c>
      <c r="C7" s="27">
        <v>0.06</v>
      </c>
      <c r="D7" s="27">
        <v>0.06</v>
      </c>
      <c r="E7" s="27">
        <v>0.06</v>
      </c>
      <c r="F7" s="27">
        <v>0.065</v>
      </c>
    </row>
    <row r="8">
      <c r="A8" s="25" t="s">
        <v>84</v>
      </c>
      <c r="B8" s="25" t="s">
        <v>85</v>
      </c>
      <c r="C8" s="27">
        <v>0.16</v>
      </c>
      <c r="D8" s="27">
        <v>0.18</v>
      </c>
      <c r="E8" s="27">
        <v>0.19</v>
      </c>
      <c r="F8" s="27">
        <v>0.2</v>
      </c>
    </row>
    <row r="9">
      <c r="A9" s="25" t="s">
        <v>86</v>
      </c>
      <c r="B9" s="25" t="s">
        <v>85</v>
      </c>
      <c r="C9" s="27">
        <v>0.06</v>
      </c>
      <c r="D9" s="27">
        <v>0.05</v>
      </c>
      <c r="E9" s="27">
        <v>0.045</v>
      </c>
      <c r="F9" s="27">
        <v>0.04</v>
      </c>
    </row>
    <row r="10">
      <c r="A10" s="25" t="s">
        <v>8</v>
      </c>
      <c r="B10" s="25" t="s">
        <v>87</v>
      </c>
      <c r="C10" s="26">
        <v>24.0</v>
      </c>
      <c r="D10" s="26">
        <v>24.0</v>
      </c>
      <c r="E10" s="26">
        <v>24.0</v>
      </c>
      <c r="F10" s="26">
        <v>30.0</v>
      </c>
    </row>
    <row r="11">
      <c r="A11" s="25" t="s">
        <v>88</v>
      </c>
      <c r="B11" s="25" t="s">
        <v>89</v>
      </c>
      <c r="C11" s="28">
        <v>15000.0</v>
      </c>
      <c r="D11" s="28">
        <v>12000.0</v>
      </c>
      <c r="E11" s="28">
        <v>11000.0</v>
      </c>
      <c r="F11" s="28">
        <v>10000.0</v>
      </c>
    </row>
    <row r="12">
      <c r="A12" s="25" t="s">
        <v>12</v>
      </c>
      <c r="B12" s="25" t="s">
        <v>77</v>
      </c>
      <c r="C12" s="26">
        <v>6.0</v>
      </c>
      <c r="D12" s="26">
        <v>7.0</v>
      </c>
      <c r="E12" s="26">
        <v>7.0</v>
      </c>
      <c r="F12" s="26">
        <v>8.0</v>
      </c>
    </row>
    <row r="13">
      <c r="A13" s="25" t="s">
        <v>90</v>
      </c>
      <c r="B13" s="25" t="s">
        <v>91</v>
      </c>
      <c r="C13" s="28">
        <v>100000.0</v>
      </c>
      <c r="D13" s="28">
        <v>80000.0</v>
      </c>
      <c r="E13" s="28">
        <v>75000.0</v>
      </c>
      <c r="F13" s="28">
        <v>70000.0</v>
      </c>
    </row>
    <row r="14">
      <c r="A14" s="25" t="s">
        <v>92</v>
      </c>
      <c r="B14" s="25" t="s">
        <v>79</v>
      </c>
      <c r="C14" s="27">
        <v>0.93</v>
      </c>
      <c r="D14" s="27">
        <v>0.9</v>
      </c>
      <c r="E14" s="27">
        <v>0.88</v>
      </c>
      <c r="F14" s="27">
        <v>0.86</v>
      </c>
    </row>
    <row r="15">
      <c r="A15" s="25" t="s">
        <v>93</v>
      </c>
      <c r="B15" s="25" t="s">
        <v>94</v>
      </c>
      <c r="C15" s="27">
        <v>0.009</v>
      </c>
      <c r="D15" s="27">
        <v>0.0075</v>
      </c>
      <c r="E15" s="27">
        <v>0.007</v>
      </c>
      <c r="F15" s="27">
        <v>0.006</v>
      </c>
    </row>
    <row r="16">
      <c r="A16" s="25" t="s">
        <v>95</v>
      </c>
      <c r="B16" s="25" t="s">
        <v>94</v>
      </c>
      <c r="C16" s="27">
        <v>0.0012</v>
      </c>
      <c r="D16" s="27">
        <v>0.001</v>
      </c>
      <c r="E16" s="27">
        <v>9.0E-4</v>
      </c>
      <c r="F16" s="27">
        <v>8.0E-4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71"/>
    <col customWidth="1" min="3" max="3" width="21.43"/>
    <col customWidth="1" min="4" max="4" width="18.43"/>
    <col customWidth="1" min="5" max="5" width="28.29"/>
    <col customWidth="1" min="6" max="6" width="20.57"/>
    <col customWidth="1" min="7" max="7" width="25.43"/>
    <col customWidth="1" min="8" max="8" width="18.86"/>
    <col customWidth="1" min="9" max="9" width="20.29"/>
    <col customWidth="1" min="10" max="11" width="16.71"/>
    <col customWidth="1" min="12" max="12" width="24.0"/>
    <col customWidth="1" min="13" max="13" width="16.71"/>
    <col customWidth="1" min="14" max="14" width="29.71"/>
    <col customWidth="1" min="15" max="15" width="30.57"/>
    <col customWidth="1" min="16" max="26" width="8.71"/>
  </cols>
  <sheetData>
    <row r="1">
      <c r="A1" s="29" t="s">
        <v>96</v>
      </c>
    </row>
    <row r="3">
      <c r="A3" s="30" t="s">
        <v>97</v>
      </c>
      <c r="B3" s="30" t="s">
        <v>98</v>
      </c>
      <c r="C3" s="30" t="s">
        <v>99</v>
      </c>
      <c r="D3" s="30" t="s">
        <v>100</v>
      </c>
      <c r="E3" s="30" t="s">
        <v>101</v>
      </c>
      <c r="F3" s="30" t="s">
        <v>102</v>
      </c>
      <c r="G3" s="30" t="s">
        <v>103</v>
      </c>
      <c r="H3" s="30" t="s">
        <v>104</v>
      </c>
      <c r="I3" s="30" t="s">
        <v>105</v>
      </c>
      <c r="J3" s="30" t="s">
        <v>106</v>
      </c>
      <c r="K3" s="30" t="s">
        <v>107</v>
      </c>
      <c r="L3" s="30" t="s">
        <v>108</v>
      </c>
      <c r="M3" s="30" t="s">
        <v>109</v>
      </c>
      <c r="N3" s="30" t="s">
        <v>110</v>
      </c>
      <c r="O3" s="30" t="s">
        <v>111</v>
      </c>
    </row>
    <row r="4">
      <c r="A4" s="31" t="s">
        <v>112</v>
      </c>
      <c r="B4" s="31" t="s">
        <v>113</v>
      </c>
      <c r="C4" s="31">
        <v>-1.0</v>
      </c>
      <c r="D4" s="32">
        <v>0.02</v>
      </c>
      <c r="E4" s="33">
        <v>0.0</v>
      </c>
      <c r="F4" s="33">
        <v>0.0</v>
      </c>
      <c r="G4" s="32">
        <v>-0.01</v>
      </c>
      <c r="H4" s="32">
        <v>0.005</v>
      </c>
      <c r="I4" s="31">
        <v>0.0</v>
      </c>
      <c r="J4" s="31">
        <v>1500.0</v>
      </c>
      <c r="K4" s="31">
        <v>0.0</v>
      </c>
      <c r="L4" s="31">
        <v>20000.0</v>
      </c>
      <c r="M4" s="32">
        <v>0.0</v>
      </c>
      <c r="N4" s="32">
        <v>0.001</v>
      </c>
      <c r="O4" s="32">
        <v>0.0</v>
      </c>
    </row>
    <row r="5">
      <c r="A5" s="31" t="s">
        <v>57</v>
      </c>
      <c r="B5" s="31" t="s">
        <v>114</v>
      </c>
      <c r="C5" s="31">
        <v>-1.0</v>
      </c>
      <c r="D5" s="32">
        <v>0.02</v>
      </c>
      <c r="E5" s="33">
        <v>0.0</v>
      </c>
      <c r="F5" s="33">
        <v>0.0</v>
      </c>
      <c r="G5" s="32">
        <v>-0.02</v>
      </c>
      <c r="H5" s="32">
        <v>0.01</v>
      </c>
      <c r="I5" s="31">
        <v>1.0</v>
      </c>
      <c r="J5" s="31">
        <v>3000.0</v>
      </c>
      <c r="K5" s="31">
        <v>1.0</v>
      </c>
      <c r="L5" s="31">
        <v>30000.0</v>
      </c>
      <c r="M5" s="32">
        <v>0.0</v>
      </c>
      <c r="N5" s="32">
        <v>0.0015</v>
      </c>
      <c r="O5" s="32">
        <v>3.0E-4</v>
      </c>
    </row>
    <row r="6">
      <c r="A6" s="31" t="s">
        <v>115</v>
      </c>
      <c r="B6" s="31" t="s">
        <v>116</v>
      </c>
      <c r="C6" s="31">
        <v>-1.0</v>
      </c>
      <c r="D6" s="32">
        <v>0.02</v>
      </c>
      <c r="E6" s="33">
        <v>0.0</v>
      </c>
      <c r="F6" s="33">
        <v>0.0</v>
      </c>
      <c r="G6" s="32">
        <v>-0.01</v>
      </c>
      <c r="H6" s="32">
        <v>0.005</v>
      </c>
      <c r="I6" s="31">
        <v>0.0</v>
      </c>
      <c r="J6" s="31">
        <v>2000.0</v>
      </c>
      <c r="K6" s="31">
        <v>0.0</v>
      </c>
      <c r="L6" s="31">
        <v>0.0</v>
      </c>
      <c r="M6" s="32">
        <v>0.0</v>
      </c>
      <c r="N6" s="32">
        <v>0.001</v>
      </c>
      <c r="O6" s="32">
        <v>2.0E-4</v>
      </c>
    </row>
    <row r="7">
      <c r="A7" s="31" t="s">
        <v>39</v>
      </c>
      <c r="B7" s="31" t="s">
        <v>117</v>
      </c>
      <c r="C7" s="31">
        <v>0.0</v>
      </c>
      <c r="D7" s="32">
        <v>0.0</v>
      </c>
      <c r="E7" s="33">
        <v>0.0</v>
      </c>
      <c r="F7" s="33">
        <v>0.0</v>
      </c>
      <c r="G7" s="32">
        <v>0.0</v>
      </c>
      <c r="H7" s="32">
        <v>0.0</v>
      </c>
      <c r="I7" s="31">
        <v>0.0</v>
      </c>
      <c r="J7" s="31">
        <v>0.0</v>
      </c>
      <c r="K7" s="31">
        <v>0.0</v>
      </c>
      <c r="L7" s="31">
        <v>0.0</v>
      </c>
      <c r="M7" s="32">
        <v>0.0</v>
      </c>
      <c r="N7" s="32">
        <v>0.0</v>
      </c>
      <c r="O7" s="32">
        <v>0.0</v>
      </c>
    </row>
    <row r="8">
      <c r="A8" s="31" t="s">
        <v>118</v>
      </c>
      <c r="B8" s="31" t="s">
        <v>119</v>
      </c>
      <c r="C8" s="31">
        <v>1.0</v>
      </c>
      <c r="D8" s="32">
        <v>0.01</v>
      </c>
      <c r="E8" s="33">
        <v>0.0</v>
      </c>
      <c r="F8" s="33">
        <v>0.0</v>
      </c>
      <c r="G8" s="32">
        <v>0.01</v>
      </c>
      <c r="H8" s="32">
        <v>0.0</v>
      </c>
      <c r="I8" s="31">
        <v>0.0</v>
      </c>
      <c r="J8" s="31">
        <v>-1000.0</v>
      </c>
      <c r="K8" s="31">
        <v>0.0</v>
      </c>
      <c r="L8" s="31">
        <v>0.0</v>
      </c>
      <c r="M8" s="32">
        <v>0.0</v>
      </c>
      <c r="N8" s="32">
        <v>-0.001</v>
      </c>
      <c r="O8" s="32">
        <v>0.0</v>
      </c>
    </row>
    <row r="9">
      <c r="A9" s="31" t="s">
        <v>50</v>
      </c>
      <c r="B9" s="31" t="s">
        <v>120</v>
      </c>
      <c r="C9" s="31">
        <v>1.0</v>
      </c>
      <c r="D9" s="32">
        <v>-0.05</v>
      </c>
      <c r="E9" s="33">
        <v>0.0</v>
      </c>
      <c r="F9" s="33">
        <v>0.0</v>
      </c>
      <c r="G9" s="32">
        <v>0.02</v>
      </c>
      <c r="H9" s="32">
        <v>-0.01</v>
      </c>
      <c r="I9" s="31">
        <v>1.0</v>
      </c>
      <c r="J9" s="31">
        <v>-1000.0</v>
      </c>
      <c r="K9" s="31">
        <v>1.0</v>
      </c>
      <c r="L9" s="31">
        <v>0.0</v>
      </c>
      <c r="M9" s="32">
        <v>0.0</v>
      </c>
      <c r="N9" s="32">
        <v>-0.001</v>
      </c>
      <c r="O9" s="3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71"/>
    <col customWidth="1" min="3" max="3" width="90.71"/>
    <col customWidth="1" min="4" max="26" width="8.71"/>
  </cols>
  <sheetData>
    <row r="1">
      <c r="A1" s="21" t="s">
        <v>121</v>
      </c>
    </row>
    <row r="3">
      <c r="A3" s="22" t="s">
        <v>97</v>
      </c>
      <c r="B3" s="22" t="s">
        <v>122</v>
      </c>
      <c r="C3" s="22" t="s">
        <v>123</v>
      </c>
    </row>
    <row r="4">
      <c r="A4" s="25" t="s">
        <v>112</v>
      </c>
      <c r="B4" s="25" t="s">
        <v>124</v>
      </c>
      <c r="C4" s="34" t="s">
        <v>125</v>
      </c>
    </row>
    <row r="5">
      <c r="A5" s="25" t="s">
        <v>57</v>
      </c>
      <c r="B5" s="25" t="s">
        <v>126</v>
      </c>
      <c r="C5" s="34" t="s">
        <v>127</v>
      </c>
    </row>
    <row r="6">
      <c r="A6" s="25" t="s">
        <v>115</v>
      </c>
      <c r="B6" s="25" t="s">
        <v>128</v>
      </c>
      <c r="C6" s="34" t="s">
        <v>129</v>
      </c>
    </row>
    <row r="7">
      <c r="A7" s="25" t="s">
        <v>39</v>
      </c>
      <c r="B7" s="25" t="s">
        <v>130</v>
      </c>
      <c r="C7" s="34" t="s">
        <v>131</v>
      </c>
    </row>
    <row r="8">
      <c r="A8" s="25" t="s">
        <v>118</v>
      </c>
      <c r="B8" s="25" t="s">
        <v>132</v>
      </c>
      <c r="C8" s="34" t="s">
        <v>133</v>
      </c>
    </row>
    <row r="9">
      <c r="A9" s="25" t="s">
        <v>50</v>
      </c>
      <c r="B9" s="25" t="s">
        <v>134</v>
      </c>
      <c r="C9" s="34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8.71"/>
    <col customWidth="1" min="3" max="26" width="8.71"/>
  </cols>
  <sheetData>
    <row r="1">
      <c r="A1" s="21" t="s">
        <v>136</v>
      </c>
    </row>
    <row r="3">
      <c r="A3" s="22" t="s">
        <v>137</v>
      </c>
      <c r="B3" s="22" t="s">
        <v>138</v>
      </c>
    </row>
    <row r="4">
      <c r="A4" s="25" t="s">
        <v>22</v>
      </c>
      <c r="B4" s="27">
        <v>0.25</v>
      </c>
    </row>
    <row r="5">
      <c r="A5" s="25" t="s">
        <v>23</v>
      </c>
      <c r="B5" s="27">
        <v>0.15</v>
      </c>
    </row>
    <row r="6">
      <c r="A6" s="25" t="s">
        <v>24</v>
      </c>
      <c r="B6" s="27">
        <v>0.15</v>
      </c>
    </row>
    <row r="7">
      <c r="A7" s="25" t="s">
        <v>25</v>
      </c>
      <c r="B7" s="27">
        <v>0.1</v>
      </c>
    </row>
    <row r="8">
      <c r="A8" s="25" t="s">
        <v>26</v>
      </c>
      <c r="B8" s="27">
        <v>0.1</v>
      </c>
    </row>
    <row r="9">
      <c r="A9" s="25" t="s">
        <v>27</v>
      </c>
      <c r="B9" s="27">
        <v>0.1</v>
      </c>
    </row>
    <row r="10">
      <c r="A10" s="25" t="s">
        <v>28</v>
      </c>
      <c r="B10" s="27">
        <v>0.05</v>
      </c>
    </row>
    <row r="11">
      <c r="A11" s="25" t="s">
        <v>29</v>
      </c>
      <c r="B11" s="27">
        <v>0.05</v>
      </c>
    </row>
    <row r="12">
      <c r="A12" s="25" t="s">
        <v>30</v>
      </c>
      <c r="B12" s="27">
        <v>0.05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4.71"/>
    <col customWidth="1" min="5" max="7" width="22.71"/>
    <col customWidth="1" min="8" max="26" width="8.71"/>
  </cols>
  <sheetData>
    <row r="1">
      <c r="A1" s="29" t="s">
        <v>139</v>
      </c>
    </row>
    <row r="3">
      <c r="A3" s="30" t="s">
        <v>140</v>
      </c>
      <c r="B3" s="35" t="str">
        <f t="array" ref="B3">INDEX(Respuestas!2:2, MATCH("tipo_ciudad (A/B/C/D)", Respuestas!1:1, 0))</f>
        <v>C</v>
      </c>
    </row>
    <row r="4">
      <c r="A4" s="30" t="s">
        <v>97</v>
      </c>
      <c r="B4" s="35" t="str">
        <f t="array" ref="B4">INDEX(Respuestas!2:2, MATCH("arquetipo (CHT/CBD/FRA/CMS/CLI/PRN)", Respuestas!1:1, 0))</f>
        <v>CMS</v>
      </c>
    </row>
    <row r="5">
      <c r="A5" s="30" t="s">
        <v>141</v>
      </c>
      <c r="B5" s="36">
        <f t="array" ref="B5">INDEX(Respuestas!2:2, MATCH("valor_mercado_hoy_MXN", Respuestas!1:1, 0))</f>
        <v>2000000</v>
      </c>
    </row>
    <row r="7">
      <c r="A7" s="30" t="s">
        <v>70</v>
      </c>
      <c r="B7" s="30" t="s">
        <v>71</v>
      </c>
      <c r="C7" s="30" t="s">
        <v>142</v>
      </c>
      <c r="D7" s="30" t="s">
        <v>143</v>
      </c>
      <c r="E7" s="30" t="s">
        <v>144</v>
      </c>
      <c r="F7" s="30" t="s">
        <v>145</v>
      </c>
      <c r="G7" s="30" t="s">
        <v>146</v>
      </c>
    </row>
    <row r="8">
      <c r="A8" s="31" t="s">
        <v>76</v>
      </c>
      <c r="B8" s="31" t="s">
        <v>77</v>
      </c>
      <c r="C8" s="37">
        <f t="array" ref="C8">IF($B$3="A", INDEX(Base_TipoCiudad!C:C, MATCH(A8, Base_TipoCiudad!A:A, 0)), IF($B$3="B", INDEX(Base_TipoCiudad!D:D, MATCH(A8, Base_TipoCiudad!A:A, 0)), IF($B$3="C", INDEX(Base_TipoCiudad!E:E, MATCH(A8, Base_TipoCiudad!A:A, 0)), INDEX(Base_TipoCiudad!F:F, MATCH(A8, Base_TipoCiudad!A:A, 0)))))</f>
        <v>5</v>
      </c>
      <c r="D8" s="25">
        <f t="array" ref="D8">INDEX(Arquetipos_Deltas!$C:$O, MATCH($B$4, Arquetipos_Deltas!$A:$A, 0), MATCH("Δ_"&amp;A8, Arquetipos_Deltas!$C$3:$O$3, 0))</f>
        <v>0</v>
      </c>
      <c r="E8" s="37">
        <f t="shared" ref="E8:E20" si="1">C8+D8</f>
        <v>5</v>
      </c>
      <c r="F8" s="25">
        <f t="array" ref="F8">IFERROR(VALUE(SUBSTITUTE(INDEX(Respuestas!2:2, MATCH("meses_para_vender_hoy", Respuestas!1:1, 0)), "+", "")), "")</f>
        <v>5</v>
      </c>
      <c r="G8" s="25">
        <f t="shared" ref="G8:G20" si="2">IF(B8="0–1", MAX(0, MIN(1, IF(F8="", E8, F8))), IF(ISNUMBER(SEARCH("meses", B8)), MAX(0, IF(F8="", E8, F8)), IF(F8="", E8, F8)))</f>
        <v>5</v>
      </c>
    </row>
    <row r="9">
      <c r="A9" s="31" t="s">
        <v>78</v>
      </c>
      <c r="B9" s="31" t="s">
        <v>79</v>
      </c>
      <c r="C9" s="38">
        <f t="array" ref="C9">IF($B$3="A", INDEX(Base_TipoCiudad!C:C, MATCH(A9, Base_TipoCiudad!A:A, 0)), IF($B$3="B", INDEX(Base_TipoCiudad!D:D, MATCH(A9, Base_TipoCiudad!A:A, 0)), IF($B$3="C", INDEX(Base_TipoCiudad!E:E, MATCH(A9, Base_TipoCiudad!A:A, 0)), INDEX(Base_TipoCiudad!F:F, MATCH(A9, Base_TipoCiudad!A:A, 0)))))</f>
        <v>0.87</v>
      </c>
      <c r="D9" s="38">
        <f t="array" ref="D9">INDEX(Arquetipos_Deltas!$C:$O, MATCH($B$4, Arquetipos_Deltas!$A:$A, 0), MATCH("Δ_"&amp;A9, Arquetipos_Deltas!$C$3:$O$3, 0))</f>
        <v>0</v>
      </c>
      <c r="E9" s="38">
        <f t="shared" si="1"/>
        <v>0.87</v>
      </c>
      <c r="G9" s="25">
        <f t="shared" si="2"/>
        <v>0.87</v>
      </c>
    </row>
    <row r="10">
      <c r="A10" s="31" t="s">
        <v>80</v>
      </c>
      <c r="B10" s="31" t="s">
        <v>81</v>
      </c>
      <c r="C10" s="38">
        <f t="array" ref="C10">IF($B$3="A", INDEX(Base_TipoCiudad!C:C, MATCH(A10, Base_TipoCiudad!A:A, 0)), IF($B$3="B", INDEX(Base_TipoCiudad!D:D, MATCH(A10, Base_TipoCiudad!A:A, 0)), IF($B$3="C", INDEX(Base_TipoCiudad!E:E, MATCH(A10, Base_TipoCiudad!A:A, 0)), INDEX(Base_TipoCiudad!F:F, MATCH(A10, Base_TipoCiudad!A:A, 0)))))</f>
        <v>0.0007</v>
      </c>
      <c r="D10" s="39">
        <f t="array" ref="D10">INDEX(Arquetipos_Deltas!$C:$O, MATCH($B$4, Arquetipos_Deltas!$A:$A, 0), MATCH("Δ_"&amp;A10, Arquetipos_Deltas!$C$3:$O$3, 0))</f>
        <v>0</v>
      </c>
      <c r="E10" s="38">
        <f t="shared" si="1"/>
        <v>0.0007</v>
      </c>
      <c r="G10" s="38">
        <f t="shared" si="2"/>
        <v>0.0007</v>
      </c>
    </row>
    <row r="11">
      <c r="A11" s="31" t="s">
        <v>82</v>
      </c>
      <c r="B11" s="31" t="s">
        <v>83</v>
      </c>
      <c r="C11" s="38">
        <f t="array" ref="C11">IF($B$3="A", INDEX(Base_TipoCiudad!C:C, MATCH(A11, Base_TipoCiudad!A:A, 0)), IF($B$3="B", INDEX(Base_TipoCiudad!D:D, MATCH(A11, Base_TipoCiudad!A:A, 0)), IF($B$3="C", INDEX(Base_TipoCiudad!E:E, MATCH(A11, Base_TipoCiudad!A:A, 0)), INDEX(Base_TipoCiudad!F:F, MATCH(A11, Base_TipoCiudad!A:A, 0)))))</f>
        <v>0.06</v>
      </c>
      <c r="D11" s="39">
        <f t="array" ref="D11">INDEX(Arquetipos_Deltas!$C:$O, MATCH($B$4, Arquetipos_Deltas!$A:$A, 0), MATCH("Δ_"&amp;A11, Arquetipos_Deltas!$C$3:$O$3, 0))</f>
        <v>0</v>
      </c>
      <c r="E11" s="38">
        <f t="shared" si="1"/>
        <v>0.06</v>
      </c>
      <c r="F11" s="25">
        <f t="array" ref="F11">IF(OR(ISBLANK(INDEX(Respuestas!2:2, MATCH("pct_costos_venta (ej. 6%)", Respuestas!1:1, 0))), INDEX(Respuestas!2:2, MATCH("pct_costos_venta (ej. 6%)", Respuestas!1:1, 0))="No se", INDEX(Respuestas!2:2, MATCH("pct_costos_venta (ej. 6%)", Respuestas!1:1, 0))="No sé"), "", VALUE(SUBSTITUTE(INDEX(Respuestas!2:2, MATCH("pct_costos_venta (ej. 6%)", Respuestas!1:1, 0)), "%", ""))/100)</f>
        <v>0.07</v>
      </c>
      <c r="G11" s="25">
        <f t="shared" si="2"/>
        <v>0.07</v>
      </c>
    </row>
    <row r="12">
      <c r="A12" s="31" t="s">
        <v>84</v>
      </c>
      <c r="B12" s="31" t="s">
        <v>85</v>
      </c>
      <c r="C12" s="38">
        <f t="array" ref="C12">IF($B$3="A", INDEX(Base_TipoCiudad!C:C, MATCH(A12, Base_TipoCiudad!A:A, 0)), IF($B$3="B", INDEX(Base_TipoCiudad!D:D, MATCH(A12, Base_TipoCiudad!A:A, 0)), IF($B$3="C", INDEX(Base_TipoCiudad!E:E, MATCH(A12, Base_TipoCiudad!A:A, 0)), INDEX(Base_TipoCiudad!F:F, MATCH(A12, Base_TipoCiudad!A:A, 0)))))</f>
        <v>0.19</v>
      </c>
      <c r="D12" s="38">
        <f t="array" ref="D12">INDEX(Arquetipos_Deltas!$C:$O, MATCH($B$4, Arquetipos_Deltas!$A:$A, 0), MATCH("Δ_"&amp;A12, Arquetipos_Deltas!$C$3:$O$3, 0))</f>
        <v>0</v>
      </c>
      <c r="E12" s="38">
        <f t="shared" si="1"/>
        <v>0.19</v>
      </c>
      <c r="G12" s="38">
        <f t="shared" si="2"/>
        <v>0.19</v>
      </c>
    </row>
    <row r="13">
      <c r="A13" s="31" t="s">
        <v>86</v>
      </c>
      <c r="B13" s="31" t="s">
        <v>85</v>
      </c>
      <c r="C13" s="38">
        <f t="array" ref="C13">IF($B$3="A", INDEX(Base_TipoCiudad!C:C, MATCH(A13, Base_TipoCiudad!A:A, 0)), IF($B$3="B", INDEX(Base_TipoCiudad!D:D, MATCH(A13, Base_TipoCiudad!A:A, 0)), IF($B$3="C", INDEX(Base_TipoCiudad!E:E, MATCH(A13, Base_TipoCiudad!A:A, 0)), INDEX(Base_TipoCiudad!F:F, MATCH(A13, Base_TipoCiudad!A:A, 0)))))</f>
        <v>0.045</v>
      </c>
      <c r="D13" s="38">
        <f t="array" ref="D13">INDEX(Arquetipos_Deltas!$C:$O, MATCH($B$4, Arquetipos_Deltas!$A:$A, 0), MATCH("Δ_"&amp;A13, Arquetipos_Deltas!$C$3:$O$3, 0))</f>
        <v>0</v>
      </c>
      <c r="E13" s="38">
        <f t="shared" si="1"/>
        <v>0.045</v>
      </c>
      <c r="G13" s="38">
        <f t="shared" si="2"/>
        <v>0.045</v>
      </c>
    </row>
    <row r="14">
      <c r="A14" s="31" t="s">
        <v>8</v>
      </c>
      <c r="B14" s="31" t="s">
        <v>87</v>
      </c>
      <c r="C14" s="37">
        <f t="array" ref="C14">IF($B$3="A", INDEX(Base_TipoCiudad!C:C, MATCH(A14, Base_TipoCiudad!A:A, 0)), IF($B$3="B", INDEX(Base_TipoCiudad!D:D, MATCH(A14, Base_TipoCiudad!A:A, 0)), IF($B$3="C", INDEX(Base_TipoCiudad!E:E, MATCH(A14, Base_TipoCiudad!A:A, 0)), INDEX(Base_TipoCiudad!F:F, MATCH(A14, Base_TipoCiudad!A:A, 0)))))</f>
        <v>24</v>
      </c>
      <c r="D14" s="25">
        <f t="array" ref="D14">INDEX(Arquetipos_Deltas!$C:$O, MATCH($B$4, Arquetipos_Deltas!$A:$A, 0), MATCH("Δ_"&amp;A14, Arquetipos_Deltas!$C$3:$O$3, 0))</f>
        <v>0</v>
      </c>
      <c r="E14" s="37">
        <f t="shared" si="1"/>
        <v>24</v>
      </c>
      <c r="F14" s="25">
        <f t="array" ref="F14">INDEX(Respuestas!2:2, MATCH("horizonte_meses", Respuestas!1:1, 0))</f>
        <v>36</v>
      </c>
      <c r="G14" s="25">
        <f t="shared" si="2"/>
        <v>36</v>
      </c>
    </row>
    <row r="15">
      <c r="A15" s="31" t="s">
        <v>88</v>
      </c>
      <c r="B15" s="31" t="s">
        <v>147</v>
      </c>
      <c r="C15" s="40">
        <f t="array" ref="C15">IF($B$3="A", INDEX(Base_TipoCiudad!C:C, MATCH(A15, Base_TipoCiudad!A:A, 0)), IF($B$3="B", INDEX(Base_TipoCiudad!D:D, MATCH(A15, Base_TipoCiudad!A:A, 0)), IF($B$3="C", INDEX(Base_TipoCiudad!E:E, MATCH(A15, Base_TipoCiudad!A:A, 0)), INDEX(Base_TipoCiudad!F:F, MATCH(A15, Base_TipoCiudad!A:A, 0)))))</f>
        <v>11000</v>
      </c>
      <c r="D15" s="25">
        <f t="array" ref="D15">INDEX(Arquetipos_Deltas!$C:$O, MATCH($B$4, Arquetipos_Deltas!$A:$A, 0), MATCH("Δ_"&amp;A15, Arquetipos_Deltas!$C$3:$O$3, 0))</f>
        <v>0</v>
      </c>
      <c r="E15" s="40">
        <f t="shared" si="1"/>
        <v>11000</v>
      </c>
      <c r="F15" s="25" t="str">
        <f t="array" ref="F15">INDEX(Respuestas!2:2, MATCH("costo_m2_MXN", Respuestas!1:1, 0))</f>
        <v/>
      </c>
      <c r="G15" s="40">
        <f t="shared" si="2"/>
        <v>11000</v>
      </c>
    </row>
    <row r="16">
      <c r="A16" s="31" t="s">
        <v>12</v>
      </c>
      <c r="B16" s="31" t="s">
        <v>77</v>
      </c>
      <c r="C16" s="37">
        <f t="array" ref="C16">IF($B$3="A", INDEX(Base_TipoCiudad!C:C, MATCH(A16, Base_TipoCiudad!A:A, 0)), IF($B$3="B", INDEX(Base_TipoCiudad!D:D, MATCH(A16, Base_TipoCiudad!A:A, 0)), IF($B$3="C", INDEX(Base_TipoCiudad!E:E, MATCH(A16, Base_TipoCiudad!A:A, 0)), INDEX(Base_TipoCiudad!F:F, MATCH(A16, Base_TipoCiudad!A:A, 0)))))</f>
        <v>7</v>
      </c>
      <c r="D16" s="25">
        <f t="array" ref="D16">INDEX(Arquetipos_Deltas!$C:$O, MATCH($B$4, Arquetipos_Deltas!$A:$A, 0), MATCH("Δ_"&amp;A16, Arquetipos_Deltas!$C$3:$O$3, 0))</f>
        <v>0</v>
      </c>
      <c r="E16" s="37">
        <f t="shared" si="1"/>
        <v>7</v>
      </c>
      <c r="F16" s="25">
        <f t="array" ref="F16">IFERROR(VALUE(SUBSTITUTE(INDEX(Respuestas!2:2, MATCH("meses_obra", Respuestas!1:1, 0)), "+", "")), "")</f>
        <v>9</v>
      </c>
      <c r="G16" s="25">
        <f t="shared" si="2"/>
        <v>9</v>
      </c>
    </row>
    <row r="17">
      <c r="A17" s="31" t="s">
        <v>90</v>
      </c>
      <c r="B17" s="31" t="s">
        <v>148</v>
      </c>
      <c r="C17" s="40">
        <f t="array" ref="C17">IF($B$3="A", INDEX(Base_TipoCiudad!C:C, MATCH(A17, Base_TipoCiudad!A:A, 0)), IF($B$3="B", INDEX(Base_TipoCiudad!D:D, MATCH(A17, Base_TipoCiudad!A:A, 0)), IF($B$3="C", INDEX(Base_TipoCiudad!E:E, MATCH(A17, Base_TipoCiudad!A:A, 0)), INDEX(Base_TipoCiudad!F:F, MATCH(A17, Base_TipoCiudad!A:A, 0)))))</f>
        <v>75000</v>
      </c>
      <c r="D17" s="25">
        <f t="array" ref="D17">INDEX(Arquetipos_Deltas!$C:$O, MATCH($B$4, Arquetipos_Deltas!$A:$A, 0), MATCH("Δ_"&amp;A17, Arquetipos_Deltas!$C$3:$O$3, 0))</f>
        <v>0</v>
      </c>
      <c r="E17" s="40">
        <f t="shared" si="1"/>
        <v>75000</v>
      </c>
      <c r="G17" s="40">
        <f t="shared" si="2"/>
        <v>75000</v>
      </c>
    </row>
    <row r="18">
      <c r="A18" s="31" t="s">
        <v>92</v>
      </c>
      <c r="B18" s="31" t="s">
        <v>79</v>
      </c>
      <c r="C18" s="38">
        <f t="array" ref="C18">IF($B$3="A", INDEX(Base_TipoCiudad!C:C, MATCH(A18, Base_TipoCiudad!A:A, 0)), IF($B$3="B", INDEX(Base_TipoCiudad!D:D, MATCH(A18, Base_TipoCiudad!A:A, 0)), IF($B$3="C", INDEX(Base_TipoCiudad!E:E, MATCH(A18, Base_TipoCiudad!A:A, 0)), INDEX(Base_TipoCiudad!F:F, MATCH(A18, Base_TipoCiudad!A:A, 0)))))</f>
        <v>0.88</v>
      </c>
      <c r="D18" s="38">
        <f t="array" ref="D18">INDEX(Arquetipos_Deltas!$C:$O, MATCH($B$4, Arquetipos_Deltas!$A:$A, 0), MATCH("Δ_"&amp;A18, Arquetipos_Deltas!$C$3:$O$3, 0))</f>
        <v>0</v>
      </c>
      <c r="E18" s="38">
        <f t="shared" si="1"/>
        <v>0.88</v>
      </c>
      <c r="G18" s="25">
        <f t="shared" si="2"/>
        <v>0.88</v>
      </c>
    </row>
    <row r="19">
      <c r="A19" s="31" t="s">
        <v>93</v>
      </c>
      <c r="B19" s="31" t="s">
        <v>94</v>
      </c>
      <c r="C19" s="38">
        <f t="array" ref="C19">IF($B$3="A", INDEX(Base_TipoCiudad!C:C, MATCH(A19, Base_TipoCiudad!A:A, 0)), IF($B$3="B", INDEX(Base_TipoCiudad!D:D, MATCH(A19, Base_TipoCiudad!A:A, 0)), IF($B$3="C", INDEX(Base_TipoCiudad!E:E, MATCH(A19, Base_TipoCiudad!A:A, 0)), INDEX(Base_TipoCiudad!F:F, MATCH(A19, Base_TipoCiudad!A:A, 0)))))</f>
        <v>0.007</v>
      </c>
      <c r="D19" s="38">
        <f t="array" ref="D19">INDEX(Arquetipos_Deltas!$C:$O, MATCH($B$4, Arquetipos_Deltas!$A:$A, 0), MATCH("Δ_"&amp;A19, Arquetipos_Deltas!$C$3:$O$3, 0))</f>
        <v>0</v>
      </c>
      <c r="E19" s="38">
        <f t="shared" si="1"/>
        <v>0.007</v>
      </c>
      <c r="G19" s="38">
        <f t="shared" si="2"/>
        <v>0.007</v>
      </c>
    </row>
    <row r="20">
      <c r="A20" s="31" t="s">
        <v>95</v>
      </c>
      <c r="B20" s="31" t="s">
        <v>94</v>
      </c>
      <c r="C20" s="38">
        <f t="array" ref="C20">IF($B$3="A", INDEX(Base_TipoCiudad!C:C, MATCH(A20, Base_TipoCiudad!A:A, 0)), IF($B$3="B", INDEX(Base_TipoCiudad!D:D, MATCH(A20, Base_TipoCiudad!A:A, 0)), IF($B$3="C", INDEX(Base_TipoCiudad!E:E, MATCH(A20, Base_TipoCiudad!A:A, 0)), INDEX(Base_TipoCiudad!F:F, MATCH(A20, Base_TipoCiudad!A:A, 0)))))</f>
        <v>0.0009</v>
      </c>
      <c r="D20" s="38">
        <f t="array" ref="D20">INDEX(Arquetipos_Deltas!$C:$O, MATCH($B$4, Arquetipos_Deltas!$A:$A, 0), MATCH("Δ_"&amp;A20, Arquetipos_Deltas!$C$3:$O$3, 0))</f>
        <v>0</v>
      </c>
      <c r="E20" s="38">
        <f t="shared" si="1"/>
        <v>0.0009</v>
      </c>
      <c r="G20" s="38">
        <f t="shared" si="2"/>
        <v>0.0009</v>
      </c>
    </row>
    <row r="21" ht="15.75" customHeight="1"/>
    <row r="22" ht="15.75" customHeight="1">
      <c r="A22" s="41" t="s">
        <v>149</v>
      </c>
      <c r="B22" s="41" t="s">
        <v>150</v>
      </c>
      <c r="C22" s="28"/>
      <c r="E22" s="25">
        <f t="array" ref="E22">IF(ISBLANK(INDEX(Respuestas!2:2, MATCH("gasto_mensual_propiedad_MXN", Respuestas!1:1, 0))), $B$5 * INDEX($G:$G, MATCH("gasto_mensual_pct_valor", $A:$A, 0)), INDEX(Respuestas!2:2, MATCH("gasto_mensual_propiedad_MXN", Respuestas!1:1, 0)))</f>
        <v>3500</v>
      </c>
    </row>
    <row r="23" ht="15.75" customHeight="1">
      <c r="A23" s="41" t="s">
        <v>151</v>
      </c>
      <c r="B23" s="41" t="s">
        <v>150</v>
      </c>
      <c r="C23" s="28"/>
      <c r="E23" s="25">
        <f t="array" ref="E23">IF(ISBLANK(INDEX(Respuestas!2:2, MATCH("costos_post_MXN", Respuestas!1:1, 0))), 0, INDEX(Respuestas!2:2, MATCH("costos_post_MXN", Respuestas!1:1, 0)))</f>
        <v>0</v>
      </c>
    </row>
    <row r="24" ht="15.75" customHeight="1">
      <c r="A24" s="41" t="s">
        <v>152</v>
      </c>
      <c r="B24" s="41" t="s">
        <v>150</v>
      </c>
      <c r="C24" s="28"/>
      <c r="E24" s="25">
        <f t="array" ref="E24">IF(ISBLANK(INDEX(Respuestas!2:2, MATCH("renta_post_MXN", Respuestas!1:1, 0))), 0, INDEX(Respuestas!2:2, MATCH("renta_post_MXN", Respuestas!1:1, 0)))</f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71"/>
    <col customWidth="1" min="3" max="26" width="8.71"/>
  </cols>
  <sheetData>
    <row r="1">
      <c r="A1" s="21" t="s">
        <v>153</v>
      </c>
    </row>
    <row r="3">
      <c r="A3" s="22" t="s">
        <v>154</v>
      </c>
      <c r="B3" s="22" t="s">
        <v>155</v>
      </c>
    </row>
    <row r="4">
      <c r="A4" s="42">
        <f t="array" ref="A4">SUMPRODUCT( N((Respuestas!W2:AE2="Si")+(Respuestas!W2:AE2="Sí")) , TRANSPOSE(Semaforo_Pesos!B4:B12) )
</f>
        <v>0.4</v>
      </c>
      <c r="B4" s="24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40.71"/>
    <col customWidth="1" min="5" max="26" width="8.71"/>
  </cols>
  <sheetData>
    <row r="1">
      <c r="A1" s="29" t="s">
        <v>157</v>
      </c>
    </row>
    <row r="3">
      <c r="A3" s="30" t="s">
        <v>158</v>
      </c>
      <c r="B3" s="43">
        <f t="array" ref="B3"> N( INDEX(Defaults_por_respuesta!$B:$B, MATCH("Valor mercado hoy (MXN)", Defaults_por_respuesta!$A:$A, 0)) )</f>
        <v>2000000</v>
      </c>
      <c r="C3" s="30" t="s">
        <v>159</v>
      </c>
      <c r="D3" s="22"/>
    </row>
    <row r="4">
      <c r="A4" s="31" t="s">
        <v>8</v>
      </c>
      <c r="B4" s="44">
        <f t="array" ref="B4"> N( INDEX(Defaults_por_respuesta!$G:$G, MATCH("horizonte_meses", Defaults_por_respuesta!$A:$A, 0)) )</f>
        <v>36</v>
      </c>
      <c r="C4" s="31" t="s">
        <v>77</v>
      </c>
    </row>
    <row r="5">
      <c r="A5" s="31" t="s">
        <v>76</v>
      </c>
      <c r="B5" s="44">
        <f t="array" ref="B5"> N( INDEX(Defaults_por_respuesta!$G:$G, MATCH("meses_vender", Defaults_por_respuesta!$A:$A, 0)) )
</f>
        <v>5</v>
      </c>
      <c r="C5" s="31" t="s">
        <v>77</v>
      </c>
    </row>
    <row r="6">
      <c r="B6" s="28"/>
    </row>
    <row r="7">
      <c r="A7" s="31" t="s">
        <v>84</v>
      </c>
      <c r="B7" s="28">
        <f t="array" ref="B7"> N( INDEX(Defaults_por_respuesta!$G:$G, MATCH("tasa_descuento_anual", Defaults_por_respuesta!$A:$A, 0)) )
</f>
        <v>0.19</v>
      </c>
      <c r="C7" s="31" t="s">
        <v>160</v>
      </c>
    </row>
    <row r="8">
      <c r="A8" s="31" t="s">
        <v>86</v>
      </c>
      <c r="B8" s="28">
        <f t="array" ref="B8"> N( INDEX(Defaults_por_respuesta!$G:$G, MATCH("plusvalia_anual", Defaults_por_respuesta!$A:$A, 0)) )
</f>
        <v>0.045</v>
      </c>
      <c r="C8" s="31" t="s">
        <v>160</v>
      </c>
    </row>
    <row r="9">
      <c r="A9" s="31" t="s">
        <v>82</v>
      </c>
      <c r="B9" s="25">
        <f t="array" ref="B9"> N( INDEX(Defaults_por_respuesta!$G:$G, MATCH("costos_venta_pct", Defaults_por_respuesta!$A:$A, 0)) )</f>
        <v>0.07</v>
      </c>
      <c r="C9" s="31" t="s">
        <v>160</v>
      </c>
    </row>
    <row r="10">
      <c r="A10" s="30" t="s">
        <v>78</v>
      </c>
      <c r="B10" s="25">
        <f t="array" ref="B10"> N( INDEX(Defaults_por_respuesta!$G:$G, MATCH("ocupacion_hoy", Defaults_por_respuesta!$A:$A, 0)) )
</f>
        <v>0.87</v>
      </c>
      <c r="C10" s="31" t="s">
        <v>79</v>
      </c>
    </row>
    <row r="11">
      <c r="A11" s="30" t="s">
        <v>161</v>
      </c>
      <c r="B11" s="28">
        <f t="array" ref="B11"> N(
   IF( ISBLANK( INDEX(Defaults_por_respuesta!$F:$F, MATCH("gasto_mensual_usado_MXN", Defaults_por_respuesta!$A:$A, 0)) ),
       INDEX(Defaults_por_respuesta!$E:$E, MATCH("gasto_mensual_usado_MXN", Defaults_por_respuesta!$A:$A, 0)),
       INDEX(Defaults_por_respuesta!$F:$F, MATCH("gasto_mensual_usado_MXN", Defaults_por_respuesta!$A:$A, 0))
   )
)</f>
        <v>3500</v>
      </c>
      <c r="C11" s="31" t="s">
        <v>150</v>
      </c>
    </row>
    <row r="12">
      <c r="A12" s="30" t="s">
        <v>162</v>
      </c>
      <c r="B12" s="27">
        <f t="array" ref="B12">IFERROR(
  IF( N(INDEX(Respuestas!A:ZZ, MAX(FILTRAR(ROW(Respuestas!A:A), Respuestas!A:A&lt;&gt;"")), MATCH("renta_mensual_actual", Respuestas!1:1, 0)))&gt;0,
      N(INDEX(Respuestas!A:ZZ, MAX(FILTRAR(ROW(Respuestas!A:A), Respuestas!A:A&lt;&gt;"")), MATCH("renta_mensual_actual", Respuestas!1:1, 0))) / N($B$4),
      N( INDEX(Defaults_por_respuesta!$G:$G, MATCH("renta_hoy_pct_valor", Defaults_por_respuesta!$A:$A, 0)) )
  ),
  0
)
</f>
        <v>0</v>
      </c>
      <c r="C12" s="31" t="s">
        <v>81</v>
      </c>
    </row>
    <row r="13">
      <c r="A13" s="30" t="s">
        <v>163</v>
      </c>
      <c r="B13" s="45">
        <f t="array" ref="B13">IFERROR(
  IF( N(INDEX(Respuestas!A:ZZ, MAX(FILTRAR(ROW(Respuestas!A:A), Respuestas!A:A&lt;&gt;"")), MATCH("renta_mensual_actual", Respuestas!1:1, 0)))&gt;0,
      N(INDEX(Respuestas!A:ZZ, MAX(FILTRAR(ROW(Respuestas!A:A), Respuestas!A:A&lt;&gt;"")), MATCH("renta_mensual_actual", Respuestas!1:1, 0))),
      N($B$4 * $B$12)
  ),
  N($B$4 * $B$12)
)</f>
        <v>0</v>
      </c>
      <c r="C13" s="31" t="s">
        <v>150</v>
      </c>
    </row>
    <row r="15">
      <c r="A15" s="30" t="s">
        <v>10</v>
      </c>
      <c r="B15" s="46">
        <f t="array" ref="B15"> IFERROR( N(INDEX(Respuestas!A:ZZ, MAX(FILTRAR(ROW(Respuestas!A:A), Respuestas!A:A&lt;&gt;"")), MATCH("m2_construccion", Respuestas!1:1, 0))), 0 )
</f>
        <v>0</v>
      </c>
      <c r="C15" s="31" t="s">
        <v>164</v>
      </c>
    </row>
    <row r="16">
      <c r="A16" s="31" t="s">
        <v>88</v>
      </c>
      <c r="B16" s="47">
        <f t="array" ref="B16"> N( INDEX(Defaults_por_respuesta!$G:$G, MATCH("costo_m2", Defaults_por_respuesta!$A:$A, 0)) )
</f>
        <v>11000</v>
      </c>
      <c r="C16" s="31" t="s">
        <v>147</v>
      </c>
    </row>
    <row r="17">
      <c r="A17" s="30" t="s">
        <v>165</v>
      </c>
      <c r="B17" s="47">
        <f t="array" ref="B17"> N( INDEX(Defaults_por_respuesta!$G:$G, MATCH("permisos_otros_mxn", Defaults_por_respuesta!$A:$A, 0)) )
</f>
        <v>75000</v>
      </c>
      <c r="C17" s="31" t="s">
        <v>159</v>
      </c>
    </row>
    <row r="18">
      <c r="A18" s="30" t="s">
        <v>166</v>
      </c>
      <c r="B18" s="47">
        <f> N(B15)*N(B16) + N(B17)
</f>
        <v>75000</v>
      </c>
      <c r="C18" s="31" t="s">
        <v>159</v>
      </c>
    </row>
    <row r="19">
      <c r="A19" s="31" t="s">
        <v>12</v>
      </c>
      <c r="B19" s="25">
        <f t="array" ref="B19"> N( INDEX(Defaults_por_respuesta!$G:$G, MATCH("meses_obra", Defaults_por_respuesta!$A:$A, 0)) )
</f>
        <v>9</v>
      </c>
      <c r="C19" s="31" t="s">
        <v>77</v>
      </c>
    </row>
    <row r="20">
      <c r="A20" s="31" t="s">
        <v>92</v>
      </c>
      <c r="B20" s="38">
        <f t="array" ref="B20"> N( INDEX(Defaults_por_respuesta!$G:$G, MATCH("ocupacion_post", Defaults_por_respuesta!$A:$A, 0)) )
</f>
        <v>0.88</v>
      </c>
      <c r="C20" s="31" t="s">
        <v>79</v>
      </c>
    </row>
    <row r="21" ht="15.75" customHeight="1">
      <c r="A21" s="31" t="s">
        <v>93</v>
      </c>
      <c r="B21" s="38">
        <f t="array" ref="B21"> N( INDEX(Defaults_por_respuesta!$G:$G, MATCH("renta_post_pct_valor_post", Defaults_por_respuesta!$A:$A, 0)) )
</f>
        <v>0.007</v>
      </c>
      <c r="C21" s="31" t="s">
        <v>81</v>
      </c>
    </row>
    <row r="22" ht="15.75" customHeight="1">
      <c r="A22" s="31" t="s">
        <v>95</v>
      </c>
      <c r="B22" s="38">
        <f t="array" ref="B22"> N( INDEX(Defaults_por_respuesta!$G:$G, MATCH("costos_post_pct_valor_post", Defaults_por_respuesta!$A:$A, 0)) )
</f>
        <v>0.0009</v>
      </c>
      <c r="C22" s="31" t="s">
        <v>81</v>
      </c>
    </row>
    <row r="23" ht="15.75" customHeight="1">
      <c r="A23" s="31" t="s">
        <v>167</v>
      </c>
      <c r="B23" s="47">
        <f> N(B3) + N(B18)
</f>
        <v>2075000</v>
      </c>
      <c r="C23" s="31" t="s">
        <v>159</v>
      </c>
    </row>
    <row r="24" ht="15.75" customHeight="1">
      <c r="A24" s="31" t="s">
        <v>152</v>
      </c>
      <c r="B24" s="47">
        <f t="array" ref="B24"> N(
   IF( NOT(ISBLANK( INDEX(Defaults_por_respuesta!$F:$F, MATCH("renta_post_usado_MXN", Defaults_por_respuesta!$A:$A, 0)) )),
       INDEX(Defaults_por_respuesta!$F:$F, MATCH("renta_post_usado_MXN", Defaults_por_respuesta!$A:$A, 0)),
       IF( NOT(ISBLANK( INDEX(Defaults_por_respuesta!$E:$E, MATCH("renta_post_usado_MXN", Defaults_por_respuesta!$A:$A, 0)) )),
           INDEX(Defaults_por_respuesta!$E:$E, MATCH("renta_post_usado_MXN", Defaults_por_respuesta!$A:$A, 0)),
           B23 * B21
       )
   )
)
</f>
        <v>0</v>
      </c>
      <c r="C24" s="31" t="s">
        <v>150</v>
      </c>
    </row>
    <row r="25" ht="15.75" customHeight="1">
      <c r="A25" s="31" t="s">
        <v>151</v>
      </c>
      <c r="B25" s="47">
        <f t="array" ref="B25"> N(
   IF( NOT(ISBLANK( INDEX(Defaults_por_respuesta!$F:$F, MATCH("costos_post_usado_MXN", Defaults_por_respuesta!$A:$A, 0)) )),
       INDEX(Defaults_por_respuesta!$F:$F, MATCH("costos_post_usado_MXN", Defaults_por_respuesta!$A:$A, 0)),
       IF( NOT(ISBLANK( INDEX(Defaults_por_respuesta!$E:$E, MATCH("costos_post_usado_MXN", Defaults_por_respuesta!$A:$A, 0)) )),
           INDEX(Defaults_por_respuesta!$E:$E, MATCH("costos_post_usado_MXN", Defaults_por_respuesta!$A:$A, 0)),
           B23 * B22
       )
   )
)
</f>
        <v>0</v>
      </c>
      <c r="C25" s="31" t="s">
        <v>150</v>
      </c>
    </row>
    <row r="26" ht="15.75" customHeight="1"/>
    <row r="27" ht="15.75" customHeight="1">
      <c r="A27" s="31" t="s">
        <v>168</v>
      </c>
      <c r="B27" s="38">
        <f t="shared" ref="B27:B28" si="1"> POWER(1 + B7, 1/12) - 1
</f>
        <v>0.01460168705</v>
      </c>
      <c r="C27" s="31" t="s">
        <v>160</v>
      </c>
    </row>
    <row r="28" ht="15.75" customHeight="1">
      <c r="A28" s="31" t="s">
        <v>169</v>
      </c>
      <c r="B28" s="38">
        <f t="shared" si="1"/>
        <v>0.0036748094</v>
      </c>
      <c r="C28" s="31" t="s">
        <v>160</v>
      </c>
    </row>
    <row r="29" ht="15.75" customHeight="1">
      <c r="A29" s="31" t="s">
        <v>170</v>
      </c>
      <c r="B29" s="25">
        <f> N(B4)
</f>
        <v>36</v>
      </c>
      <c r="C29" s="31" t="s">
        <v>77</v>
      </c>
    </row>
    <row r="30" ht="15.75" customHeight="1">
      <c r="A30" s="31" t="s">
        <v>171</v>
      </c>
      <c r="B30" s="25">
        <f> MAX(0, N(B4) - N(B19))
</f>
        <v>27</v>
      </c>
      <c r="C30" s="31" t="s">
        <v>77</v>
      </c>
    </row>
    <row r="31" ht="15.75" customHeight="1"/>
    <row r="32" ht="15.75" customHeight="1">
      <c r="A32" s="31" t="s">
        <v>172</v>
      </c>
      <c r="B32" s="31" t="s">
        <v>173</v>
      </c>
    </row>
    <row r="33" ht="15.75" customHeight="1">
      <c r="A33" s="31" t="s">
        <v>174</v>
      </c>
      <c r="B33" s="47">
        <f>$B$3*(1-B9)/POWER(1+B27, B5)</f>
        <v>1729955.945</v>
      </c>
      <c r="C33" s="31" t="s">
        <v>159</v>
      </c>
    </row>
    <row r="34" ht="15.75" customHeight="1">
      <c r="A34" s="31" t="s">
        <v>175</v>
      </c>
      <c r="B34" s="47">
        <f> N( ( (B13 * B10 - B11) * IF(B26&gt;0, (1 - POWER(1 + B26, -B29)) / B26, B29) )
     + ( (B3 * POWER(1 + B27, B29)) * (1 - B9) / POWER(1 + B26, B29 + B5) ) )
</f>
        <v>3008395.74</v>
      </c>
      <c r="C34" s="31" t="s">
        <v>159</v>
      </c>
    </row>
    <row r="35" ht="15.75" customHeight="1">
      <c r="A35" s="31" t="s">
        <v>176</v>
      </c>
      <c r="B35" s="47">
        <f> N( -B18 + ( B23 * (1 - B9) ) / POWER(1 + B26, B19 + B5) )
</f>
        <v>1854750</v>
      </c>
      <c r="C35" s="31" t="s">
        <v>159</v>
      </c>
    </row>
    <row r="36" ht="15.75" customHeight="1">
      <c r="A36" s="31" t="s">
        <v>177</v>
      </c>
      <c r="B36" s="47">
        <f> N( -B18
     + ( (B24 * B20 - B25) * IF(B26&gt;0, (1 - POWER(1 + B26, -B30)) / B26, B30) )
     + ( (B23 * POWER(1 + B27, B30)) * (1 - B9) / POWER(1 + B26, B30 + B5) ) )</f>
        <v>2779182.327</v>
      </c>
      <c r="C36" s="31" t="s">
        <v>159</v>
      </c>
    </row>
    <row r="37" ht="15.75" customHeight="1">
      <c r="A37" s="31" t="s">
        <v>178</v>
      </c>
      <c r="B37" s="47">
        <f> N( ( -B11 * IF(B26&gt;0, (1 - POWER(1 + B26, -B29)) / B26, B29) )
     + ( (B3 * POWER(1 + B27, B29)) * (1 - B9) / POWER(1 + B26, B29 + B5) ) )
</f>
        <v>3008395.74</v>
      </c>
      <c r="C37" s="31" t="s">
        <v>159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31" t="s">
        <v>179</v>
      </c>
      <c r="B3" s="25" t="str">
        <f>MAX(FILTRAR(ROW(Respuestas!A:A), Respuestas!A:A&lt;&gt;""))
</f>
        <v>#NAME?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5.71"/>
    <col customWidth="1" min="3" max="3" width="43.29"/>
    <col customWidth="1" min="4" max="4" width="40.71"/>
    <col customWidth="1" min="5" max="26" width="8.71"/>
  </cols>
  <sheetData>
    <row r="1">
      <c r="A1" s="29" t="s">
        <v>180</v>
      </c>
      <c r="B1" s="48"/>
    </row>
    <row r="2">
      <c r="B2" s="48"/>
    </row>
    <row r="3">
      <c r="A3" s="30" t="s">
        <v>172</v>
      </c>
      <c r="B3" s="49" t="s">
        <v>173</v>
      </c>
      <c r="C3" s="30" t="s">
        <v>181</v>
      </c>
      <c r="D3" s="22"/>
    </row>
    <row r="4">
      <c r="A4" s="31" t="s">
        <v>174</v>
      </c>
      <c r="B4" s="50">
        <f t="array" ref="B4">IFERROR(INDEX(Calculos_Escenarios!B:B, MATCH("Vender ahora", Calculos_Escenarios!A:A, 0)), "")</f>
        <v>1729955.945</v>
      </c>
      <c r="C4" s="51" t="str">
        <f t="array" ref="C4">IF(ISNUMBER(B4),
  "Vendes en " &amp; N(INDEX(Calculos_Escenarios!B:B, MATCH("meses_vender", Calculos_Escenarios!A:A, 0))) &amp;
  " m; costos " &amp; TEXT(N(INDEX(Calculos_Escenarios!B:B, MATCH("costos_venta_pct", Calculos_Escenarios!A:A, 0))), "0%"),
  ""
)
</f>
        <v>Vendes en 5 m; costos 7%</v>
      </c>
    </row>
    <row r="5">
      <c r="A5" s="31" t="s">
        <v>175</v>
      </c>
      <c r="B5" s="50">
        <f t="array" ref="B5">IFERROR(INDEX(Calculos_Escenarios!B:B, MATCH("Rentar (sin obra)", Calculos_Escenarios!A:A, 0)), "")</f>
        <v>3008395.74</v>
      </c>
      <c r="C5" s="51" t="str">
        <f t="array" ref="C5">IF(ISNUMBER(B5),
  "Rentas " &amp; N(INDEX(Calculos_Escenarios!B:B, MATCH("n_renta_sin_obra", Calculos_Escenarios!A:A, 0))) &amp;
  " m; neto=" &amp;
  TEXT(
    N(INDEX(Calculos_Escenarios!B:B, MATCH("renta_hoy_MXN", Calculos_Escenarios!A:A, 0))) -
    N(INDEX(Calculos_Escenarios!B:B, MATCH("gasto_mensual_MXN", Calculos_Escenarios!A:A, 0))),
    "$#,##0"
  ) &amp;
  "/mes; vendes en " &amp;
  ( N(INDEX(Calculos_Escenarios!B:B, MATCH("n_renta_sin_obra", Calculos_Escenarios!A:A, 0))) +
    N(INDEX(Calculos_Escenarios!B:B, MATCH("meses_vender", Calculos_Escenarios!A:A, 0))) ) &amp;
  " m",
  ""
)
</f>
        <v>Rentas 36 m; neto=-$3.500/mes; vendes en 41 m</v>
      </c>
    </row>
    <row r="6">
      <c r="A6" s="31" t="s">
        <v>176</v>
      </c>
      <c r="B6" s="50">
        <f t="array" ref="B6">IFERROR(INDEX(Calculos_Escenarios!B:B, MATCH("Construir &amp; vender", Calculos_Escenarios!A:A, 0)), "")</f>
        <v>1854750</v>
      </c>
      <c r="C6" s="51" t="str">
        <f t="array" ref="C6">IF(ISNUMBER(B6),
  "Capex " &amp; TEXT(N(INDEX(Calculos_Escenarios!B:B, MATCH("capex_total_MXN", Calculos_Escenarios!A:A, 0))), "$#,##0")
  &amp; "; obra " &amp; N(INDEX(Calculos_Escenarios!B:B, MATCH("meses_obra", Calculos_Escenarios!A:A, 0))) &amp; " m",
  ""
)
</f>
        <v>Capex $75.000; obra 9 m</v>
      </c>
    </row>
    <row r="7">
      <c r="A7" s="31" t="s">
        <v>177</v>
      </c>
      <c r="B7" s="50">
        <f t="array" ref="B7">IFERROR(INDEX(Calculos_Escenarios!B:B, MATCH("Construir &amp; rentar", Calculos_Escenarios!A:A, 0)), "")</f>
        <v>2779182.327</v>
      </c>
      <c r="C7" s="51" t="str">
        <f t="array" ref="C7">IF(ISNUMBER(B7),
  "Capex " &amp; TEXT(N(INDEX(Calculos_Escenarios!B:B, MATCH("capex_total_MXN", Calculos_Escenarios!A:A, 0))), "$#,##0")
  &amp; "; renta " &amp; N(INDEX(Calculos_Escenarios!B:B, MATCH("n_post_obra", Calculos_Escenarios!A:A, 0))) &amp; " m; ocup "
  &amp; TEXT(N(INDEX(Calculos_Escenarios!B:B, MATCH("ocupacion_post", Calculos_Escenarios!A:A, 0))), "0%"),
  ""
)
</f>
        <v>Capex $75.000; renta 27 m; ocup 88%</v>
      </c>
    </row>
    <row r="8">
      <c r="A8" s="31" t="s">
        <v>178</v>
      </c>
      <c r="B8" s="50">
        <f t="array" ref="B8">IFERROR(INDEX(Calculos_Escenarios!B:B, MATCH("Esperar", Calculos_Escenarios!A:A, 0)), "")</f>
        <v>3008395.74</v>
      </c>
      <c r="C8" s="25" t="str">
        <f t="array" ref="C8">IF(ISNUMBER(B8),
  "Mantener " &amp;
  N(INDEX(Calculos_Escenarios!B:B, MATCH("n_renta_sin_obra", Calculos_Escenarios!A:A, 0))) &amp;
  " m; gasto " &amp;
  TEXT(N(INDEX(Calculos_Escenarios!B:B, MATCH("gasto_mensual_MXN", Calculos_Escenarios!A:A, 0))), "$#,##0") &amp;
  "/mes",
  ""
)
</f>
        <v>Mantener 36 m; gasto $3.500/mes</v>
      </c>
    </row>
    <row r="9">
      <c r="B9" s="48"/>
    </row>
    <row r="10">
      <c r="A10" s="30" t="s">
        <v>182</v>
      </c>
      <c r="B10" s="48"/>
    </row>
    <row r="11">
      <c r="A11" s="30" t="s">
        <v>174</v>
      </c>
      <c r="B11" s="52">
        <f t="shared" ref="B11:B15" si="1">IF(ISNUMBER(B4), 1+COUNTIF($B$4:$B$8, "&gt;"&amp;B4), "")</f>
        <v>5</v>
      </c>
    </row>
    <row r="12">
      <c r="A12" s="30" t="s">
        <v>175</v>
      </c>
      <c r="B12" s="52">
        <f t="shared" si="1"/>
        <v>1</v>
      </c>
    </row>
    <row r="13">
      <c r="A13" s="30" t="s">
        <v>176</v>
      </c>
      <c r="B13" s="52">
        <f t="shared" si="1"/>
        <v>4</v>
      </c>
    </row>
    <row r="14">
      <c r="A14" s="31" t="s">
        <v>177</v>
      </c>
      <c r="B14" s="53">
        <f t="shared" si="1"/>
        <v>3</v>
      </c>
    </row>
    <row r="15">
      <c r="A15" s="30" t="s">
        <v>178</v>
      </c>
      <c r="B15" s="52">
        <f t="shared" si="1"/>
        <v>1</v>
      </c>
    </row>
    <row r="16">
      <c r="B16" s="48"/>
    </row>
    <row r="17">
      <c r="A17" s="30" t="s">
        <v>183</v>
      </c>
      <c r="B17" s="54" t="str">
        <f t="array" ref="B17">IF(COUNT($B$4:$B$8)=0, "", INDEX($A$4:$A$8, MATCH(MAX(IF(ISNUMBER($B$4:$B$8), $B$4:$B$8)), $B$4:$B$8, 0)))</f>
        <v>Rentar (sin obra)</v>
      </c>
    </row>
    <row r="18">
      <c r="A18" s="30" t="s">
        <v>184</v>
      </c>
      <c r="B18" s="55">
        <f>IF(COUNT($B$4:$B$8)=0, "", MAX($B$4:$B$8))
</f>
        <v>3008395.74</v>
      </c>
    </row>
    <row r="19">
      <c r="A19" s="31" t="s">
        <v>185</v>
      </c>
      <c r="B19" s="55">
        <f>IF(COUNT($B$4:$B$8)&lt;2, "", LARGE($B$4:$B$8, 2))
</f>
        <v>3008395.74</v>
      </c>
    </row>
    <row r="20">
      <c r="A20" s="31" t="s">
        <v>186</v>
      </c>
      <c r="B20" s="42">
        <f>IF(OR(B18="", B19="", B19=0), "", (B18-B19)/ABS(B19))</f>
        <v>0</v>
      </c>
    </row>
    <row r="21" ht="15.75" customHeight="1">
      <c r="B21" s="48"/>
    </row>
    <row r="22" ht="15.75" customHeight="1">
      <c r="A22" s="31" t="s">
        <v>187</v>
      </c>
      <c r="B22" s="42">
        <f>IFERROR(Riesgo_Total!$A$4, "")</f>
        <v>0.4</v>
      </c>
    </row>
    <row r="23" ht="15.75" customHeight="1">
      <c r="B23" s="48"/>
    </row>
    <row r="24" ht="15.75" customHeight="1">
      <c r="A24" s="31" t="s">
        <v>188</v>
      </c>
      <c r="B24" s="54" t="str">
        <f>IF(B17="", "", IF(AND(ISNUMBER(B22), B22&gt;=0.6, OR(B17="Construir &amp; vender", B17="Construir &amp; rentar")), B17&amp;" (alto riesgo: valida permisos/mercado)", B17))
</f>
        <v>Rentar (sin obra)</v>
      </c>
    </row>
    <row r="25" ht="15.75" customHeight="1">
      <c r="A25" s="31" t="s">
        <v>189</v>
      </c>
      <c r="B25" s="56" t="str">
        <f>IF(B17="", "", "Ganador: "&amp;B17&amp;". NPV: "&amp;TEXT(B18, "$#,##0")&amp;". Ventaja vs 2º: "&amp;IF(ISNUMBER(B20), TEXT(B20, "0,0%"), "n/a")&amp;". Riesgo: "&amp;IF(ISNUMBER(B22), TEXT(B22, "0,0%"), "n/a")&amp;".")
</f>
        <v>Ganador: Rentar (sin obra). NPV: $3.008.396. Ventaja vs 2º: 00%. Riesgo: 40%.</v>
      </c>
    </row>
    <row r="26" ht="15.75" customHeight="1">
      <c r="B26" s="48"/>
    </row>
    <row r="27" ht="15.75" customHeight="1">
      <c r="B27" s="48"/>
    </row>
    <row r="28" ht="15.75" customHeight="1">
      <c r="B28" s="48"/>
    </row>
    <row r="29" ht="15.75" customHeight="1">
      <c r="B29" s="48"/>
    </row>
    <row r="30" ht="15.75" customHeight="1">
      <c r="B30" s="48"/>
    </row>
    <row r="31" ht="15.75" customHeight="1">
      <c r="B31" s="48"/>
    </row>
    <row r="32" ht="15.75" customHeight="1">
      <c r="B32" s="48"/>
    </row>
    <row r="33" ht="15.75" customHeight="1">
      <c r="B33" s="48"/>
    </row>
    <row r="34" ht="15.75" customHeight="1">
      <c r="B34" s="48"/>
    </row>
    <row r="35" ht="15.75" customHeight="1">
      <c r="B35" s="48"/>
    </row>
    <row r="36" ht="15.75" customHeight="1">
      <c r="B36" s="48"/>
    </row>
    <row r="37" ht="15.75" customHeight="1">
      <c r="B37" s="48"/>
    </row>
    <row r="38" ht="15.75" customHeight="1">
      <c r="B38" s="48"/>
    </row>
    <row r="39" ht="15.75" customHeight="1">
      <c r="B39" s="48"/>
    </row>
    <row r="40" ht="15.75" customHeight="1">
      <c r="B40" s="48"/>
    </row>
    <row r="41" ht="15.75" customHeight="1">
      <c r="B41" s="48"/>
    </row>
    <row r="42" ht="15.75" customHeight="1">
      <c r="B42" s="48"/>
    </row>
    <row r="43" ht="15.75" customHeight="1">
      <c r="B43" s="48"/>
    </row>
    <row r="44" ht="15.75" customHeight="1">
      <c r="B44" s="48"/>
    </row>
    <row r="45" ht="15.75" customHeight="1">
      <c r="B45" s="48"/>
    </row>
    <row r="46" ht="15.75" customHeight="1">
      <c r="B46" s="48"/>
    </row>
    <row r="47" ht="15.75" customHeight="1">
      <c r="B47" s="48"/>
    </row>
    <row r="48" ht="15.75" customHeight="1">
      <c r="B48" s="48"/>
    </row>
    <row r="49" ht="15.75" customHeight="1">
      <c r="B49" s="48"/>
    </row>
    <row r="50" ht="15.75" customHeight="1">
      <c r="B50" s="48"/>
    </row>
    <row r="51" ht="15.75" customHeight="1">
      <c r="B51" s="48"/>
    </row>
    <row r="52" ht="15.75" customHeight="1">
      <c r="B52" s="48"/>
    </row>
    <row r="53" ht="15.75" customHeight="1">
      <c r="B53" s="48"/>
    </row>
    <row r="54" ht="15.75" customHeight="1">
      <c r="B54" s="48"/>
    </row>
    <row r="55" ht="15.75" customHeight="1">
      <c r="B55" s="48"/>
    </row>
    <row r="56" ht="15.75" customHeight="1">
      <c r="B56" s="48"/>
    </row>
    <row r="57" ht="15.75" customHeight="1">
      <c r="B57" s="48"/>
    </row>
    <row r="58" ht="15.75" customHeight="1">
      <c r="B58" s="48"/>
    </row>
    <row r="59" ht="15.75" customHeight="1">
      <c r="B59" s="48"/>
    </row>
    <row r="60" ht="15.75" customHeight="1">
      <c r="B60" s="48"/>
    </row>
    <row r="61" ht="15.75" customHeight="1">
      <c r="B61" s="48"/>
    </row>
    <row r="62" ht="15.75" customHeight="1">
      <c r="B62" s="48"/>
    </row>
    <row r="63" ht="15.75" customHeight="1">
      <c r="B63" s="48"/>
    </row>
    <row r="64" ht="15.75" customHeight="1">
      <c r="B64" s="48"/>
    </row>
    <row r="65" ht="15.75" customHeight="1">
      <c r="B65" s="48"/>
    </row>
    <row r="66" ht="15.75" customHeight="1">
      <c r="B66" s="48"/>
    </row>
    <row r="67" ht="15.75" customHeight="1">
      <c r="B67" s="48"/>
    </row>
    <row r="68" ht="15.75" customHeight="1">
      <c r="B68" s="48"/>
    </row>
    <row r="69" ht="15.75" customHeight="1">
      <c r="B69" s="48"/>
    </row>
    <row r="70" ht="15.75" customHeight="1">
      <c r="B70" s="48"/>
    </row>
    <row r="71" ht="15.75" customHeight="1">
      <c r="B71" s="48"/>
    </row>
    <row r="72" ht="15.75" customHeight="1">
      <c r="B72" s="48"/>
    </row>
    <row r="73" ht="15.75" customHeight="1">
      <c r="B73" s="48"/>
    </row>
    <row r="74" ht="15.75" customHeight="1">
      <c r="B74" s="48"/>
    </row>
    <row r="75" ht="15.75" customHeight="1">
      <c r="B75" s="48"/>
    </row>
    <row r="76" ht="15.75" customHeight="1">
      <c r="B76" s="48"/>
    </row>
    <row r="77" ht="15.75" customHeight="1">
      <c r="B77" s="48"/>
    </row>
    <row r="78" ht="15.75" customHeight="1">
      <c r="B78" s="48"/>
    </row>
    <row r="79" ht="15.75" customHeight="1">
      <c r="B79" s="48"/>
    </row>
    <row r="80" ht="15.75" customHeight="1">
      <c r="B80" s="48"/>
    </row>
    <row r="81" ht="15.75" customHeight="1">
      <c r="B81" s="48"/>
    </row>
    <row r="82" ht="15.75" customHeight="1">
      <c r="B82" s="48"/>
    </row>
    <row r="83" ht="15.75" customHeight="1">
      <c r="B83" s="48"/>
    </row>
    <row r="84" ht="15.75" customHeight="1">
      <c r="B84" s="48"/>
    </row>
    <row r="85" ht="15.75" customHeight="1">
      <c r="B85" s="48"/>
    </row>
    <row r="86" ht="15.75" customHeight="1">
      <c r="B86" s="48"/>
    </row>
    <row r="87" ht="15.75" customHeight="1">
      <c r="B87" s="48"/>
    </row>
    <row r="88" ht="15.75" customHeight="1">
      <c r="B88" s="48"/>
    </row>
    <row r="89" ht="15.75" customHeight="1">
      <c r="B89" s="48"/>
    </row>
    <row r="90" ht="15.75" customHeight="1">
      <c r="B90" s="48"/>
    </row>
    <row r="91" ht="15.75" customHeight="1">
      <c r="B91" s="48"/>
    </row>
    <row r="92" ht="15.75" customHeight="1">
      <c r="B92" s="48"/>
    </row>
    <row r="93" ht="15.75" customHeight="1">
      <c r="B93" s="48"/>
    </row>
    <row r="94" ht="15.75" customHeight="1">
      <c r="B94" s="48"/>
    </row>
    <row r="95" ht="15.75" customHeight="1">
      <c r="B95" s="48"/>
    </row>
    <row r="96" ht="15.75" customHeight="1">
      <c r="B96" s="48"/>
    </row>
    <row r="97" ht="15.75" customHeight="1">
      <c r="B97" s="48"/>
    </row>
    <row r="98" ht="15.75" customHeight="1">
      <c r="B98" s="48"/>
    </row>
    <row r="99" ht="15.75" customHeight="1">
      <c r="B99" s="48"/>
    </row>
    <row r="100" ht="15.75" customHeight="1">
      <c r="B100" s="48"/>
    </row>
    <row r="101" ht="15.75" customHeight="1">
      <c r="B101" s="48"/>
    </row>
    <row r="102" ht="15.75" customHeight="1">
      <c r="B102" s="48"/>
    </row>
    <row r="103" ht="15.75" customHeight="1">
      <c r="B103" s="48"/>
    </row>
    <row r="104" ht="15.75" customHeight="1">
      <c r="B104" s="48"/>
    </row>
    <row r="105" ht="15.75" customHeight="1">
      <c r="B105" s="48"/>
    </row>
    <row r="106" ht="15.75" customHeight="1">
      <c r="B106" s="48"/>
    </row>
    <row r="107" ht="15.75" customHeight="1">
      <c r="B107" s="48"/>
    </row>
    <row r="108" ht="15.75" customHeight="1">
      <c r="B108" s="48"/>
    </row>
    <row r="109" ht="15.75" customHeight="1">
      <c r="B109" s="48"/>
    </row>
    <row r="110" ht="15.75" customHeight="1">
      <c r="B110" s="48"/>
    </row>
    <row r="111" ht="15.75" customHeight="1">
      <c r="B111" s="48"/>
    </row>
    <row r="112" ht="15.75" customHeight="1">
      <c r="B112" s="48"/>
    </row>
    <row r="113" ht="15.75" customHeight="1">
      <c r="B113" s="48"/>
    </row>
    <row r="114" ht="15.75" customHeight="1">
      <c r="B114" s="48"/>
    </row>
    <row r="115" ht="15.75" customHeight="1">
      <c r="B115" s="48"/>
    </row>
    <row r="116" ht="15.75" customHeight="1">
      <c r="B116" s="48"/>
    </row>
    <row r="117" ht="15.75" customHeight="1">
      <c r="B117" s="48"/>
    </row>
    <row r="118" ht="15.75" customHeight="1">
      <c r="B118" s="48"/>
    </row>
    <row r="119" ht="15.75" customHeight="1">
      <c r="B119" s="48"/>
    </row>
    <row r="120" ht="15.75" customHeight="1">
      <c r="B120" s="48"/>
    </row>
    <row r="121" ht="15.75" customHeight="1">
      <c r="B121" s="48"/>
    </row>
    <row r="122" ht="15.75" customHeight="1">
      <c r="B122" s="48"/>
    </row>
    <row r="123" ht="15.75" customHeight="1">
      <c r="B123" s="48"/>
    </row>
    <row r="124" ht="15.75" customHeight="1">
      <c r="B124" s="48"/>
    </row>
    <row r="125" ht="15.75" customHeight="1">
      <c r="B125" s="48"/>
    </row>
    <row r="126" ht="15.75" customHeight="1">
      <c r="B126" s="48"/>
    </row>
    <row r="127" ht="15.75" customHeight="1">
      <c r="B127" s="48"/>
    </row>
    <row r="128" ht="15.75" customHeight="1">
      <c r="B128" s="48"/>
    </row>
    <row r="129" ht="15.75" customHeight="1">
      <c r="B129" s="48"/>
    </row>
    <row r="130" ht="15.75" customHeight="1">
      <c r="B130" s="48"/>
    </row>
    <row r="131" ht="15.75" customHeight="1">
      <c r="B131" s="48"/>
    </row>
    <row r="132" ht="15.75" customHeight="1">
      <c r="B132" s="48"/>
    </row>
    <row r="133" ht="15.75" customHeight="1">
      <c r="B133" s="48"/>
    </row>
    <row r="134" ht="15.75" customHeight="1">
      <c r="B134" s="48"/>
    </row>
    <row r="135" ht="15.75" customHeight="1">
      <c r="B135" s="48"/>
    </row>
    <row r="136" ht="15.75" customHeight="1">
      <c r="B136" s="48"/>
    </row>
    <row r="137" ht="15.75" customHeight="1">
      <c r="B137" s="48"/>
    </row>
    <row r="138" ht="15.75" customHeight="1">
      <c r="B138" s="48"/>
    </row>
    <row r="139" ht="15.75" customHeight="1">
      <c r="B139" s="48"/>
    </row>
    <row r="140" ht="15.75" customHeight="1">
      <c r="B140" s="48"/>
    </row>
    <row r="141" ht="15.75" customHeight="1">
      <c r="B141" s="48"/>
    </row>
    <row r="142" ht="15.75" customHeight="1">
      <c r="B142" s="48"/>
    </row>
    <row r="143" ht="15.75" customHeight="1">
      <c r="B143" s="48"/>
    </row>
    <row r="144" ht="15.75" customHeight="1">
      <c r="B144" s="48"/>
    </row>
    <row r="145" ht="15.75" customHeight="1">
      <c r="B145" s="48"/>
    </row>
    <row r="146" ht="15.75" customHeight="1">
      <c r="B146" s="48"/>
    </row>
    <row r="147" ht="15.75" customHeight="1">
      <c r="B147" s="48"/>
    </row>
    <row r="148" ht="15.75" customHeight="1">
      <c r="B148" s="48"/>
    </row>
    <row r="149" ht="15.75" customHeight="1">
      <c r="B149" s="48"/>
    </row>
    <row r="150" ht="15.75" customHeight="1">
      <c r="B150" s="48"/>
    </row>
    <row r="151" ht="15.75" customHeight="1">
      <c r="B151" s="48"/>
    </row>
    <row r="152" ht="15.75" customHeight="1">
      <c r="B152" s="48"/>
    </row>
    <row r="153" ht="15.75" customHeight="1">
      <c r="B153" s="48"/>
    </row>
    <row r="154" ht="15.75" customHeight="1">
      <c r="B154" s="48"/>
    </row>
    <row r="155" ht="15.75" customHeight="1">
      <c r="B155" s="48"/>
    </row>
    <row r="156" ht="15.75" customHeight="1">
      <c r="B156" s="48"/>
    </row>
    <row r="157" ht="15.75" customHeight="1">
      <c r="B157" s="48"/>
    </row>
    <row r="158" ht="15.75" customHeight="1">
      <c r="B158" s="48"/>
    </row>
    <row r="159" ht="15.75" customHeight="1">
      <c r="B159" s="48"/>
    </row>
    <row r="160" ht="15.75" customHeight="1">
      <c r="B160" s="48"/>
    </row>
    <row r="161" ht="15.75" customHeight="1">
      <c r="B161" s="48"/>
    </row>
    <row r="162" ht="15.75" customHeight="1">
      <c r="B162" s="48"/>
    </row>
    <row r="163" ht="15.75" customHeight="1">
      <c r="B163" s="48"/>
    </row>
    <row r="164" ht="15.75" customHeight="1">
      <c r="B164" s="48"/>
    </row>
    <row r="165" ht="15.75" customHeight="1">
      <c r="B165" s="48"/>
    </row>
    <row r="166" ht="15.75" customHeight="1">
      <c r="B166" s="48"/>
    </row>
    <row r="167" ht="15.75" customHeight="1">
      <c r="B167" s="48"/>
    </row>
    <row r="168" ht="15.75" customHeight="1">
      <c r="B168" s="48"/>
    </row>
    <row r="169" ht="15.75" customHeight="1">
      <c r="B169" s="48"/>
    </row>
    <row r="170" ht="15.75" customHeight="1">
      <c r="B170" s="48"/>
    </row>
    <row r="171" ht="15.75" customHeight="1">
      <c r="B171" s="48"/>
    </row>
    <row r="172" ht="15.75" customHeight="1">
      <c r="B172" s="48"/>
    </row>
    <row r="173" ht="15.75" customHeight="1">
      <c r="B173" s="48"/>
    </row>
    <row r="174" ht="15.75" customHeight="1">
      <c r="B174" s="48"/>
    </row>
    <row r="175" ht="15.75" customHeight="1">
      <c r="B175" s="48"/>
    </row>
    <row r="176" ht="15.75" customHeight="1">
      <c r="B176" s="48"/>
    </row>
    <row r="177" ht="15.75" customHeight="1">
      <c r="B177" s="48"/>
    </row>
    <row r="178" ht="15.75" customHeight="1">
      <c r="B178" s="48"/>
    </row>
    <row r="179" ht="15.75" customHeight="1">
      <c r="B179" s="48"/>
    </row>
    <row r="180" ht="15.75" customHeight="1">
      <c r="B180" s="48"/>
    </row>
    <row r="181" ht="15.75" customHeight="1">
      <c r="B181" s="48"/>
    </row>
    <row r="182" ht="15.75" customHeight="1">
      <c r="B182" s="48"/>
    </row>
    <row r="183" ht="15.75" customHeight="1">
      <c r="B183" s="48"/>
    </row>
    <row r="184" ht="15.75" customHeight="1">
      <c r="B184" s="48"/>
    </row>
    <row r="185" ht="15.75" customHeight="1">
      <c r="B185" s="48"/>
    </row>
    <row r="186" ht="15.75" customHeight="1">
      <c r="B186" s="48"/>
    </row>
    <row r="187" ht="15.75" customHeight="1">
      <c r="B187" s="48"/>
    </row>
    <row r="188" ht="15.75" customHeight="1">
      <c r="B188" s="48"/>
    </row>
    <row r="189" ht="15.75" customHeight="1">
      <c r="B189" s="48"/>
    </row>
    <row r="190" ht="15.75" customHeight="1">
      <c r="B190" s="48"/>
    </row>
    <row r="191" ht="15.75" customHeight="1">
      <c r="B191" s="48"/>
    </row>
    <row r="192" ht="15.75" customHeight="1">
      <c r="B192" s="48"/>
    </row>
    <row r="193" ht="15.75" customHeight="1">
      <c r="B193" s="48"/>
    </row>
    <row r="194" ht="15.75" customHeight="1">
      <c r="B194" s="48"/>
    </row>
    <row r="195" ht="15.75" customHeight="1">
      <c r="B195" s="48"/>
    </row>
    <row r="196" ht="15.75" customHeight="1">
      <c r="B196" s="48"/>
    </row>
    <row r="197" ht="15.75" customHeight="1">
      <c r="B197" s="48"/>
    </row>
    <row r="198" ht="15.75" customHeight="1">
      <c r="B198" s="48"/>
    </row>
    <row r="199" ht="15.75" customHeight="1">
      <c r="B199" s="48"/>
    </row>
    <row r="200" ht="15.75" customHeight="1">
      <c r="B200" s="48"/>
    </row>
    <row r="201" ht="15.75" customHeight="1">
      <c r="B201" s="48"/>
    </row>
    <row r="202" ht="15.75" customHeight="1">
      <c r="B202" s="48"/>
    </row>
    <row r="203" ht="15.75" customHeight="1">
      <c r="B203" s="48"/>
    </row>
    <row r="204" ht="15.75" customHeight="1">
      <c r="B204" s="48"/>
    </row>
    <row r="205" ht="15.75" customHeight="1">
      <c r="B205" s="48"/>
    </row>
    <row r="206" ht="15.75" customHeight="1">
      <c r="B206" s="48"/>
    </row>
    <row r="207" ht="15.75" customHeight="1">
      <c r="B207" s="48"/>
    </row>
    <row r="208" ht="15.75" customHeight="1">
      <c r="B208" s="48"/>
    </row>
    <row r="209" ht="15.75" customHeight="1">
      <c r="B209" s="48"/>
    </row>
    <row r="210" ht="15.75" customHeight="1">
      <c r="B210" s="48"/>
    </row>
    <row r="211" ht="15.75" customHeight="1">
      <c r="B211" s="48"/>
    </row>
    <row r="212" ht="15.75" customHeight="1">
      <c r="B212" s="48"/>
    </row>
    <row r="213" ht="15.75" customHeight="1">
      <c r="B213" s="48"/>
    </row>
    <row r="214" ht="15.75" customHeight="1">
      <c r="B214" s="48"/>
    </row>
    <row r="215" ht="15.75" customHeight="1">
      <c r="B215" s="48"/>
    </row>
    <row r="216" ht="15.75" customHeight="1">
      <c r="B216" s="48"/>
    </row>
    <row r="217" ht="15.75" customHeight="1">
      <c r="B217" s="48"/>
    </row>
    <row r="218" ht="15.75" customHeight="1">
      <c r="B218" s="48"/>
    </row>
    <row r="219" ht="15.75" customHeight="1">
      <c r="B219" s="48"/>
    </row>
    <row r="220" ht="15.75" customHeight="1">
      <c r="B220" s="48"/>
    </row>
    <row r="221" ht="15.75" customHeight="1">
      <c r="B221" s="48"/>
    </row>
    <row r="222" ht="15.75" customHeight="1">
      <c r="B222" s="48"/>
    </row>
    <row r="223" ht="15.75" customHeight="1">
      <c r="B223" s="48"/>
    </row>
    <row r="224" ht="15.75" customHeight="1">
      <c r="B224" s="48"/>
    </row>
    <row r="225" ht="15.75" customHeight="1">
      <c r="B225" s="48"/>
    </row>
    <row r="226" ht="15.75" customHeight="1">
      <c r="B226" s="48"/>
    </row>
    <row r="227" ht="15.75" customHeight="1">
      <c r="B227" s="48"/>
    </row>
    <row r="228" ht="15.75" customHeight="1">
      <c r="B228" s="48"/>
    </row>
    <row r="229" ht="15.75" customHeight="1">
      <c r="B229" s="48"/>
    </row>
    <row r="230" ht="15.75" customHeight="1">
      <c r="B230" s="48"/>
    </row>
    <row r="231" ht="15.75" customHeight="1">
      <c r="B231" s="48"/>
    </row>
    <row r="232" ht="15.75" customHeight="1">
      <c r="B232" s="48"/>
    </row>
    <row r="233" ht="15.75" customHeight="1">
      <c r="B233" s="48"/>
    </row>
    <row r="234" ht="15.75" customHeight="1">
      <c r="B234" s="48"/>
    </row>
    <row r="235" ht="15.75" customHeight="1">
      <c r="B235" s="48"/>
    </row>
    <row r="236" ht="15.75" customHeight="1">
      <c r="B236" s="48"/>
    </row>
    <row r="237" ht="15.75" customHeight="1">
      <c r="B237" s="48"/>
    </row>
    <row r="238" ht="15.75" customHeight="1">
      <c r="B238" s="48"/>
    </row>
    <row r="239" ht="15.75" customHeight="1">
      <c r="B239" s="48"/>
    </row>
    <row r="240" ht="15.75" customHeight="1">
      <c r="B240" s="48"/>
    </row>
    <row r="241" ht="15.75" customHeight="1">
      <c r="B241" s="48"/>
    </row>
    <row r="242" ht="15.75" customHeight="1">
      <c r="B242" s="48"/>
    </row>
    <row r="243" ht="15.75" customHeight="1">
      <c r="B243" s="48"/>
    </row>
    <row r="244" ht="15.75" customHeight="1">
      <c r="B244" s="48"/>
    </row>
    <row r="245" ht="15.75" customHeight="1">
      <c r="B245" s="48"/>
    </row>
    <row r="246" ht="15.75" customHeight="1">
      <c r="B246" s="48"/>
    </row>
    <row r="247" ht="15.75" customHeight="1">
      <c r="B247" s="48"/>
    </row>
    <row r="248" ht="15.75" customHeight="1">
      <c r="B248" s="48"/>
    </row>
    <row r="249" ht="15.75" customHeight="1">
      <c r="B249" s="48"/>
    </row>
    <row r="250" ht="15.75" customHeight="1">
      <c r="B250" s="48"/>
    </row>
    <row r="251" ht="15.75" customHeight="1">
      <c r="B251" s="48"/>
    </row>
    <row r="252" ht="15.75" customHeight="1">
      <c r="B252" s="48"/>
    </row>
    <row r="253" ht="15.75" customHeight="1">
      <c r="B253" s="48"/>
    </row>
    <row r="254" ht="15.75" customHeight="1">
      <c r="B254" s="48"/>
    </row>
    <row r="255" ht="15.75" customHeight="1">
      <c r="B255" s="48"/>
    </row>
    <row r="256" ht="15.75" customHeight="1">
      <c r="B256" s="48"/>
    </row>
    <row r="257" ht="15.75" customHeight="1">
      <c r="B257" s="48"/>
    </row>
    <row r="258" ht="15.75" customHeight="1">
      <c r="B258" s="48"/>
    </row>
    <row r="259" ht="15.75" customHeight="1">
      <c r="B259" s="48"/>
    </row>
    <row r="260" ht="15.75" customHeight="1">
      <c r="B260" s="48"/>
    </row>
    <row r="261" ht="15.75" customHeight="1">
      <c r="B261" s="48"/>
    </row>
    <row r="262" ht="15.75" customHeight="1">
      <c r="B262" s="48"/>
    </row>
    <row r="263" ht="15.75" customHeight="1">
      <c r="B263" s="48"/>
    </row>
    <row r="264" ht="15.75" customHeight="1">
      <c r="B264" s="48"/>
    </row>
    <row r="265" ht="15.75" customHeight="1">
      <c r="B265" s="48"/>
    </row>
    <row r="266" ht="15.75" customHeight="1">
      <c r="B266" s="48"/>
    </row>
    <row r="267" ht="15.75" customHeight="1">
      <c r="B267" s="48"/>
    </row>
    <row r="268" ht="15.75" customHeight="1">
      <c r="B268" s="48"/>
    </row>
    <row r="269" ht="15.75" customHeight="1">
      <c r="B269" s="48"/>
    </row>
    <row r="270" ht="15.75" customHeight="1">
      <c r="B270" s="48"/>
    </row>
    <row r="271" ht="15.75" customHeight="1">
      <c r="B271" s="48"/>
    </row>
    <row r="272" ht="15.75" customHeight="1">
      <c r="B272" s="48"/>
    </row>
    <row r="273" ht="15.75" customHeight="1">
      <c r="B273" s="48"/>
    </row>
    <row r="274" ht="15.75" customHeight="1">
      <c r="B274" s="48"/>
    </row>
    <row r="275" ht="15.75" customHeight="1">
      <c r="B275" s="48"/>
    </row>
    <row r="276" ht="15.75" customHeight="1">
      <c r="B276" s="48"/>
    </row>
    <row r="277" ht="15.75" customHeight="1">
      <c r="B277" s="48"/>
    </row>
    <row r="278" ht="15.75" customHeight="1">
      <c r="B278" s="48"/>
    </row>
    <row r="279" ht="15.75" customHeight="1">
      <c r="B279" s="48"/>
    </row>
    <row r="280" ht="15.75" customHeight="1">
      <c r="B280" s="48"/>
    </row>
    <row r="281" ht="15.75" customHeight="1">
      <c r="B281" s="48"/>
    </row>
    <row r="282" ht="15.75" customHeight="1">
      <c r="B282" s="48"/>
    </row>
    <row r="283" ht="15.75" customHeight="1">
      <c r="B283" s="48"/>
    </row>
    <row r="284" ht="15.75" customHeight="1">
      <c r="B284" s="48"/>
    </row>
    <row r="285" ht="15.75" customHeight="1">
      <c r="B285" s="48"/>
    </row>
    <row r="286" ht="15.75" customHeight="1">
      <c r="B286" s="48"/>
    </row>
    <row r="287" ht="15.75" customHeight="1">
      <c r="B287" s="48"/>
    </row>
    <row r="288" ht="15.75" customHeight="1">
      <c r="B288" s="48"/>
    </row>
    <row r="289" ht="15.75" customHeight="1">
      <c r="B289" s="48"/>
    </row>
    <row r="290" ht="15.75" customHeight="1">
      <c r="B290" s="48"/>
    </row>
    <row r="291" ht="15.75" customHeight="1">
      <c r="B291" s="48"/>
    </row>
    <row r="292" ht="15.75" customHeight="1">
      <c r="B292" s="48"/>
    </row>
    <row r="293" ht="15.75" customHeight="1">
      <c r="B293" s="48"/>
    </row>
    <row r="294" ht="15.75" customHeight="1">
      <c r="B294" s="48"/>
    </row>
    <row r="295" ht="15.75" customHeight="1">
      <c r="B295" s="48"/>
    </row>
    <row r="296" ht="15.75" customHeight="1">
      <c r="B296" s="48"/>
    </row>
    <row r="297" ht="15.75" customHeight="1">
      <c r="B297" s="48"/>
    </row>
    <row r="298" ht="15.75" customHeight="1">
      <c r="B298" s="48"/>
    </row>
    <row r="299" ht="15.75" customHeight="1">
      <c r="B299" s="48"/>
    </row>
    <row r="300" ht="15.75" customHeight="1">
      <c r="B300" s="48"/>
    </row>
    <row r="301" ht="15.75" customHeight="1">
      <c r="B301" s="48"/>
    </row>
    <row r="302" ht="15.75" customHeight="1">
      <c r="B302" s="48"/>
    </row>
    <row r="303" ht="15.75" customHeight="1">
      <c r="B303" s="48"/>
    </row>
    <row r="304" ht="15.75" customHeight="1">
      <c r="B304" s="48"/>
    </row>
    <row r="305" ht="15.75" customHeight="1">
      <c r="B305" s="48"/>
    </row>
    <row r="306" ht="15.75" customHeight="1">
      <c r="B306" s="48"/>
    </row>
    <row r="307" ht="15.75" customHeight="1">
      <c r="B307" s="48"/>
    </row>
    <row r="308" ht="15.75" customHeight="1">
      <c r="B308" s="48"/>
    </row>
    <row r="309" ht="15.75" customHeight="1">
      <c r="B309" s="48"/>
    </row>
    <row r="310" ht="15.75" customHeight="1">
      <c r="B310" s="48"/>
    </row>
    <row r="311" ht="15.75" customHeight="1">
      <c r="B311" s="48"/>
    </row>
    <row r="312" ht="15.75" customHeight="1">
      <c r="B312" s="48"/>
    </row>
    <row r="313" ht="15.75" customHeight="1">
      <c r="B313" s="48"/>
    </row>
    <row r="314" ht="15.75" customHeight="1">
      <c r="B314" s="48"/>
    </row>
    <row r="315" ht="15.75" customHeight="1">
      <c r="B315" s="48"/>
    </row>
    <row r="316" ht="15.75" customHeight="1">
      <c r="B316" s="48"/>
    </row>
    <row r="317" ht="15.75" customHeight="1">
      <c r="B317" s="48"/>
    </row>
    <row r="318" ht="15.75" customHeight="1">
      <c r="B318" s="48"/>
    </row>
    <row r="319" ht="15.75" customHeight="1">
      <c r="B319" s="48"/>
    </row>
    <row r="320" ht="15.75" customHeight="1">
      <c r="B320" s="48"/>
    </row>
    <row r="321" ht="15.75" customHeight="1">
      <c r="B321" s="48"/>
    </row>
    <row r="322" ht="15.75" customHeight="1">
      <c r="B322" s="48"/>
    </row>
    <row r="323" ht="15.75" customHeight="1">
      <c r="B323" s="48"/>
    </row>
    <row r="324" ht="15.75" customHeight="1">
      <c r="B324" s="48"/>
    </row>
    <row r="325" ht="15.75" customHeight="1">
      <c r="B325" s="48"/>
    </row>
    <row r="326" ht="15.75" customHeight="1">
      <c r="B326" s="48"/>
    </row>
    <row r="327" ht="15.75" customHeight="1">
      <c r="B327" s="48"/>
    </row>
    <row r="328" ht="15.75" customHeight="1">
      <c r="B328" s="48"/>
    </row>
    <row r="329" ht="15.75" customHeight="1">
      <c r="B329" s="48"/>
    </row>
    <row r="330" ht="15.75" customHeight="1">
      <c r="B330" s="48"/>
    </row>
    <row r="331" ht="15.75" customHeight="1">
      <c r="B331" s="48"/>
    </row>
    <row r="332" ht="15.75" customHeight="1">
      <c r="B332" s="48"/>
    </row>
    <row r="333" ht="15.75" customHeight="1">
      <c r="B333" s="48"/>
    </row>
    <row r="334" ht="15.75" customHeight="1">
      <c r="B334" s="48"/>
    </row>
    <row r="335" ht="15.75" customHeight="1">
      <c r="B335" s="48"/>
    </row>
    <row r="336" ht="15.75" customHeight="1">
      <c r="B336" s="48"/>
    </row>
    <row r="337" ht="15.75" customHeight="1">
      <c r="B337" s="48"/>
    </row>
    <row r="338" ht="15.75" customHeight="1">
      <c r="B338" s="48"/>
    </row>
    <row r="339" ht="15.75" customHeight="1">
      <c r="B339" s="48"/>
    </row>
    <row r="340" ht="15.75" customHeight="1">
      <c r="B340" s="48"/>
    </row>
    <row r="341" ht="15.75" customHeight="1">
      <c r="B341" s="48"/>
    </row>
    <row r="342" ht="15.75" customHeight="1">
      <c r="B342" s="48"/>
    </row>
    <row r="343" ht="15.75" customHeight="1">
      <c r="B343" s="48"/>
    </row>
    <row r="344" ht="15.75" customHeight="1">
      <c r="B344" s="48"/>
    </row>
    <row r="345" ht="15.75" customHeight="1">
      <c r="B345" s="48"/>
    </row>
    <row r="346" ht="15.75" customHeight="1">
      <c r="B346" s="48"/>
    </row>
    <row r="347" ht="15.75" customHeight="1">
      <c r="B347" s="48"/>
    </row>
    <row r="348" ht="15.75" customHeight="1">
      <c r="B348" s="48"/>
    </row>
    <row r="349" ht="15.75" customHeight="1">
      <c r="B349" s="48"/>
    </row>
    <row r="350" ht="15.75" customHeight="1">
      <c r="B350" s="48"/>
    </row>
    <row r="351" ht="15.75" customHeight="1">
      <c r="B351" s="48"/>
    </row>
    <row r="352" ht="15.75" customHeight="1">
      <c r="B352" s="48"/>
    </row>
    <row r="353" ht="15.75" customHeight="1">
      <c r="B353" s="48"/>
    </row>
    <row r="354" ht="15.75" customHeight="1">
      <c r="B354" s="48"/>
    </row>
    <row r="355" ht="15.75" customHeight="1">
      <c r="B355" s="48"/>
    </row>
    <row r="356" ht="15.75" customHeight="1">
      <c r="B356" s="48"/>
    </row>
    <row r="357" ht="15.75" customHeight="1">
      <c r="B357" s="48"/>
    </row>
    <row r="358" ht="15.75" customHeight="1">
      <c r="B358" s="48"/>
    </row>
    <row r="359" ht="15.75" customHeight="1">
      <c r="B359" s="48"/>
    </row>
    <row r="360" ht="15.75" customHeight="1">
      <c r="B360" s="48"/>
    </row>
    <row r="361" ht="15.75" customHeight="1">
      <c r="B361" s="48"/>
    </row>
    <row r="362" ht="15.75" customHeight="1">
      <c r="B362" s="48"/>
    </row>
    <row r="363" ht="15.75" customHeight="1">
      <c r="B363" s="48"/>
    </row>
    <row r="364" ht="15.75" customHeight="1">
      <c r="B364" s="48"/>
    </row>
    <row r="365" ht="15.75" customHeight="1">
      <c r="B365" s="48"/>
    </row>
    <row r="366" ht="15.75" customHeight="1">
      <c r="B366" s="48"/>
    </row>
    <row r="367" ht="15.75" customHeight="1">
      <c r="B367" s="48"/>
    </row>
    <row r="368" ht="15.75" customHeight="1">
      <c r="B368" s="48"/>
    </row>
    <row r="369" ht="15.75" customHeight="1">
      <c r="B369" s="48"/>
    </row>
    <row r="370" ht="15.75" customHeight="1">
      <c r="B370" s="48"/>
    </row>
    <row r="371" ht="15.75" customHeight="1">
      <c r="B371" s="48"/>
    </row>
    <row r="372" ht="15.75" customHeight="1">
      <c r="B372" s="48"/>
    </row>
    <row r="373" ht="15.75" customHeight="1">
      <c r="B373" s="48"/>
    </row>
    <row r="374" ht="15.75" customHeight="1">
      <c r="B374" s="48"/>
    </row>
    <row r="375" ht="15.75" customHeight="1">
      <c r="B375" s="48"/>
    </row>
    <row r="376" ht="15.75" customHeight="1">
      <c r="B376" s="48"/>
    </row>
    <row r="377" ht="15.75" customHeight="1">
      <c r="B377" s="48"/>
    </row>
    <row r="378" ht="15.75" customHeight="1">
      <c r="B378" s="48"/>
    </row>
    <row r="379" ht="15.75" customHeight="1">
      <c r="B379" s="48"/>
    </row>
    <row r="380" ht="15.75" customHeight="1">
      <c r="B380" s="48"/>
    </row>
    <row r="381" ht="15.75" customHeight="1">
      <c r="B381" s="48"/>
    </row>
    <row r="382" ht="15.75" customHeight="1">
      <c r="B382" s="48"/>
    </row>
    <row r="383" ht="15.75" customHeight="1">
      <c r="B383" s="48"/>
    </row>
    <row r="384" ht="15.75" customHeight="1">
      <c r="B384" s="48"/>
    </row>
    <row r="385" ht="15.75" customHeight="1">
      <c r="B385" s="48"/>
    </row>
    <row r="386" ht="15.75" customHeight="1">
      <c r="B386" s="48"/>
    </row>
    <row r="387" ht="15.75" customHeight="1">
      <c r="B387" s="48"/>
    </row>
    <row r="388" ht="15.75" customHeight="1">
      <c r="B388" s="48"/>
    </row>
    <row r="389" ht="15.75" customHeight="1">
      <c r="B389" s="48"/>
    </row>
    <row r="390" ht="15.75" customHeight="1">
      <c r="B390" s="48"/>
    </row>
    <row r="391" ht="15.75" customHeight="1">
      <c r="B391" s="48"/>
    </row>
    <row r="392" ht="15.75" customHeight="1">
      <c r="B392" s="48"/>
    </row>
    <row r="393" ht="15.75" customHeight="1">
      <c r="B393" s="48"/>
    </row>
    <row r="394" ht="15.75" customHeight="1">
      <c r="B394" s="48"/>
    </row>
    <row r="395" ht="15.75" customHeight="1">
      <c r="B395" s="48"/>
    </row>
    <row r="396" ht="15.75" customHeight="1">
      <c r="B396" s="48"/>
    </row>
    <row r="397" ht="15.75" customHeight="1">
      <c r="B397" s="48"/>
    </row>
    <row r="398" ht="15.75" customHeight="1">
      <c r="B398" s="48"/>
    </row>
    <row r="399" ht="15.75" customHeight="1">
      <c r="B399" s="48"/>
    </row>
    <row r="400" ht="15.75" customHeight="1">
      <c r="B400" s="48"/>
    </row>
    <row r="401" ht="15.75" customHeight="1">
      <c r="B401" s="48"/>
    </row>
    <row r="402" ht="15.75" customHeight="1">
      <c r="B402" s="48"/>
    </row>
    <row r="403" ht="15.75" customHeight="1">
      <c r="B403" s="48"/>
    </row>
    <row r="404" ht="15.75" customHeight="1">
      <c r="B404" s="48"/>
    </row>
    <row r="405" ht="15.75" customHeight="1">
      <c r="B405" s="48"/>
    </row>
    <row r="406" ht="15.75" customHeight="1">
      <c r="B406" s="48"/>
    </row>
    <row r="407" ht="15.75" customHeight="1">
      <c r="B407" s="48"/>
    </row>
    <row r="408" ht="15.75" customHeight="1">
      <c r="B408" s="48"/>
    </row>
    <row r="409" ht="15.75" customHeight="1">
      <c r="B409" s="48"/>
    </row>
    <row r="410" ht="15.75" customHeight="1">
      <c r="B410" s="48"/>
    </row>
    <row r="411" ht="15.75" customHeight="1">
      <c r="B411" s="48"/>
    </row>
    <row r="412" ht="15.75" customHeight="1">
      <c r="B412" s="48"/>
    </row>
    <row r="413" ht="15.75" customHeight="1">
      <c r="B413" s="48"/>
    </row>
    <row r="414" ht="15.75" customHeight="1">
      <c r="B414" s="48"/>
    </row>
    <row r="415" ht="15.75" customHeight="1">
      <c r="B415" s="48"/>
    </row>
    <row r="416" ht="15.75" customHeight="1">
      <c r="B416" s="48"/>
    </row>
    <row r="417" ht="15.75" customHeight="1">
      <c r="B417" s="48"/>
    </row>
    <row r="418" ht="15.75" customHeight="1">
      <c r="B418" s="48"/>
    </row>
    <row r="419" ht="15.75" customHeight="1">
      <c r="B419" s="48"/>
    </row>
    <row r="420" ht="15.75" customHeight="1">
      <c r="B420" s="48"/>
    </row>
    <row r="421" ht="15.75" customHeight="1">
      <c r="B421" s="48"/>
    </row>
    <row r="422" ht="15.75" customHeight="1">
      <c r="B422" s="48"/>
    </row>
    <row r="423" ht="15.75" customHeight="1">
      <c r="B423" s="48"/>
    </row>
    <row r="424" ht="15.75" customHeight="1">
      <c r="B424" s="48"/>
    </row>
    <row r="425" ht="15.75" customHeight="1">
      <c r="B425" s="48"/>
    </row>
    <row r="426" ht="15.75" customHeight="1">
      <c r="B426" s="48"/>
    </row>
    <row r="427" ht="15.75" customHeight="1">
      <c r="B427" s="48"/>
    </row>
    <row r="428" ht="15.75" customHeight="1">
      <c r="B428" s="48"/>
    </row>
    <row r="429" ht="15.75" customHeight="1">
      <c r="B429" s="48"/>
    </row>
    <row r="430" ht="15.75" customHeight="1">
      <c r="B430" s="48"/>
    </row>
    <row r="431" ht="15.75" customHeight="1">
      <c r="B431" s="48"/>
    </row>
    <row r="432" ht="15.75" customHeight="1">
      <c r="B432" s="48"/>
    </row>
    <row r="433" ht="15.75" customHeight="1">
      <c r="B433" s="48"/>
    </row>
    <row r="434" ht="15.75" customHeight="1">
      <c r="B434" s="48"/>
    </row>
    <row r="435" ht="15.75" customHeight="1">
      <c r="B435" s="48"/>
    </row>
    <row r="436" ht="15.75" customHeight="1">
      <c r="B436" s="48"/>
    </row>
    <row r="437" ht="15.75" customHeight="1">
      <c r="B437" s="48"/>
    </row>
    <row r="438" ht="15.75" customHeight="1">
      <c r="B438" s="48"/>
    </row>
    <row r="439" ht="15.75" customHeight="1">
      <c r="B439" s="48"/>
    </row>
    <row r="440" ht="15.75" customHeight="1">
      <c r="B440" s="48"/>
    </row>
    <row r="441" ht="15.75" customHeight="1">
      <c r="B441" s="48"/>
    </row>
    <row r="442" ht="15.75" customHeight="1">
      <c r="B442" s="48"/>
    </row>
    <row r="443" ht="15.75" customHeight="1">
      <c r="B443" s="48"/>
    </row>
    <row r="444" ht="15.75" customHeight="1">
      <c r="B444" s="48"/>
    </row>
    <row r="445" ht="15.75" customHeight="1">
      <c r="B445" s="48"/>
    </row>
    <row r="446" ht="15.75" customHeight="1">
      <c r="B446" s="48"/>
    </row>
    <row r="447" ht="15.75" customHeight="1">
      <c r="B447" s="48"/>
    </row>
    <row r="448" ht="15.75" customHeight="1">
      <c r="B448" s="48"/>
    </row>
    <row r="449" ht="15.75" customHeight="1">
      <c r="B449" s="48"/>
    </row>
    <row r="450" ht="15.75" customHeight="1">
      <c r="B450" s="48"/>
    </row>
    <row r="451" ht="15.75" customHeight="1">
      <c r="B451" s="48"/>
    </row>
    <row r="452" ht="15.75" customHeight="1">
      <c r="B452" s="48"/>
    </row>
    <row r="453" ht="15.75" customHeight="1">
      <c r="B453" s="48"/>
    </row>
    <row r="454" ht="15.75" customHeight="1">
      <c r="B454" s="48"/>
    </row>
    <row r="455" ht="15.75" customHeight="1">
      <c r="B455" s="48"/>
    </row>
    <row r="456" ht="15.75" customHeight="1">
      <c r="B456" s="48"/>
    </row>
    <row r="457" ht="15.75" customHeight="1">
      <c r="B457" s="48"/>
    </row>
    <row r="458" ht="15.75" customHeight="1">
      <c r="B458" s="48"/>
    </row>
    <row r="459" ht="15.75" customHeight="1">
      <c r="B459" s="48"/>
    </row>
    <row r="460" ht="15.75" customHeight="1">
      <c r="B460" s="48"/>
    </row>
    <row r="461" ht="15.75" customHeight="1">
      <c r="B461" s="48"/>
    </row>
    <row r="462" ht="15.75" customHeight="1">
      <c r="B462" s="48"/>
    </row>
    <row r="463" ht="15.75" customHeight="1">
      <c r="B463" s="48"/>
    </row>
    <row r="464" ht="15.75" customHeight="1">
      <c r="B464" s="48"/>
    </row>
    <row r="465" ht="15.75" customHeight="1">
      <c r="B465" s="48"/>
    </row>
    <row r="466" ht="15.75" customHeight="1">
      <c r="B466" s="48"/>
    </row>
    <row r="467" ht="15.75" customHeight="1">
      <c r="B467" s="48"/>
    </row>
    <row r="468" ht="15.75" customHeight="1">
      <c r="B468" s="48"/>
    </row>
    <row r="469" ht="15.75" customHeight="1">
      <c r="B469" s="48"/>
    </row>
    <row r="470" ht="15.75" customHeight="1">
      <c r="B470" s="48"/>
    </row>
    <row r="471" ht="15.75" customHeight="1">
      <c r="B471" s="48"/>
    </row>
    <row r="472" ht="15.75" customHeight="1">
      <c r="B472" s="48"/>
    </row>
    <row r="473" ht="15.75" customHeight="1">
      <c r="B473" s="48"/>
    </row>
    <row r="474" ht="15.75" customHeight="1">
      <c r="B474" s="48"/>
    </row>
    <row r="475" ht="15.75" customHeight="1">
      <c r="B475" s="48"/>
    </row>
    <row r="476" ht="15.75" customHeight="1">
      <c r="B476" s="48"/>
    </row>
    <row r="477" ht="15.75" customHeight="1">
      <c r="B477" s="48"/>
    </row>
    <row r="478" ht="15.75" customHeight="1">
      <c r="B478" s="48"/>
    </row>
    <row r="479" ht="15.75" customHeight="1">
      <c r="B479" s="48"/>
    </row>
    <row r="480" ht="15.75" customHeight="1">
      <c r="B480" s="48"/>
    </row>
    <row r="481" ht="15.75" customHeight="1">
      <c r="B481" s="48"/>
    </row>
    <row r="482" ht="15.75" customHeight="1">
      <c r="B482" s="48"/>
    </row>
    <row r="483" ht="15.75" customHeight="1">
      <c r="B483" s="48"/>
    </row>
    <row r="484" ht="15.75" customHeight="1">
      <c r="B484" s="48"/>
    </row>
    <row r="485" ht="15.75" customHeight="1">
      <c r="B485" s="48"/>
    </row>
    <row r="486" ht="15.75" customHeight="1">
      <c r="B486" s="48"/>
    </row>
    <row r="487" ht="15.75" customHeight="1">
      <c r="B487" s="48"/>
    </row>
    <row r="488" ht="15.75" customHeight="1">
      <c r="B488" s="48"/>
    </row>
    <row r="489" ht="15.75" customHeight="1">
      <c r="B489" s="48"/>
    </row>
    <row r="490" ht="15.75" customHeight="1">
      <c r="B490" s="48"/>
    </row>
    <row r="491" ht="15.75" customHeight="1">
      <c r="B491" s="48"/>
    </row>
    <row r="492" ht="15.75" customHeight="1">
      <c r="B492" s="48"/>
    </row>
    <row r="493" ht="15.75" customHeight="1">
      <c r="B493" s="48"/>
    </row>
    <row r="494" ht="15.75" customHeight="1">
      <c r="B494" s="48"/>
    </row>
    <row r="495" ht="15.75" customHeight="1">
      <c r="B495" s="48"/>
    </row>
    <row r="496" ht="15.75" customHeight="1">
      <c r="B496" s="48"/>
    </row>
    <row r="497" ht="15.75" customHeight="1">
      <c r="B497" s="48"/>
    </row>
    <row r="498" ht="15.75" customHeight="1">
      <c r="B498" s="48"/>
    </row>
    <row r="499" ht="15.75" customHeight="1">
      <c r="B499" s="48"/>
    </row>
    <row r="500" ht="15.75" customHeight="1">
      <c r="B500" s="48"/>
    </row>
    <row r="501" ht="15.75" customHeight="1">
      <c r="B501" s="48"/>
    </row>
    <row r="502" ht="15.75" customHeight="1">
      <c r="B502" s="48"/>
    </row>
    <row r="503" ht="15.75" customHeight="1">
      <c r="B503" s="48"/>
    </row>
    <row r="504" ht="15.75" customHeight="1">
      <c r="B504" s="48"/>
    </row>
    <row r="505" ht="15.75" customHeight="1">
      <c r="B505" s="48"/>
    </row>
    <row r="506" ht="15.75" customHeight="1">
      <c r="B506" s="48"/>
    </row>
    <row r="507" ht="15.75" customHeight="1">
      <c r="B507" s="48"/>
    </row>
    <row r="508" ht="15.75" customHeight="1">
      <c r="B508" s="48"/>
    </row>
    <row r="509" ht="15.75" customHeight="1">
      <c r="B509" s="48"/>
    </row>
    <row r="510" ht="15.75" customHeight="1">
      <c r="B510" s="48"/>
    </row>
    <row r="511" ht="15.75" customHeight="1">
      <c r="B511" s="48"/>
    </row>
    <row r="512" ht="15.75" customHeight="1">
      <c r="B512" s="48"/>
    </row>
    <row r="513" ht="15.75" customHeight="1">
      <c r="B513" s="48"/>
    </row>
    <row r="514" ht="15.75" customHeight="1">
      <c r="B514" s="48"/>
    </row>
    <row r="515" ht="15.75" customHeight="1">
      <c r="B515" s="48"/>
    </row>
    <row r="516" ht="15.75" customHeight="1">
      <c r="B516" s="48"/>
    </row>
    <row r="517" ht="15.75" customHeight="1">
      <c r="B517" s="48"/>
    </row>
    <row r="518" ht="15.75" customHeight="1">
      <c r="B518" s="48"/>
    </row>
    <row r="519" ht="15.75" customHeight="1">
      <c r="B519" s="48"/>
    </row>
    <row r="520" ht="15.75" customHeight="1">
      <c r="B520" s="48"/>
    </row>
    <row r="521" ht="15.75" customHeight="1">
      <c r="B521" s="48"/>
    </row>
    <row r="522" ht="15.75" customHeight="1">
      <c r="B522" s="48"/>
    </row>
    <row r="523" ht="15.75" customHeight="1">
      <c r="B523" s="48"/>
    </row>
    <row r="524" ht="15.75" customHeight="1">
      <c r="B524" s="48"/>
    </row>
    <row r="525" ht="15.75" customHeight="1">
      <c r="B525" s="48"/>
    </row>
    <row r="526" ht="15.75" customHeight="1">
      <c r="B526" s="48"/>
    </row>
    <row r="527" ht="15.75" customHeight="1">
      <c r="B527" s="48"/>
    </row>
    <row r="528" ht="15.75" customHeight="1">
      <c r="B528" s="48"/>
    </row>
    <row r="529" ht="15.75" customHeight="1">
      <c r="B529" s="48"/>
    </row>
    <row r="530" ht="15.75" customHeight="1">
      <c r="B530" s="48"/>
    </row>
    <row r="531" ht="15.75" customHeight="1">
      <c r="B531" s="48"/>
    </row>
    <row r="532" ht="15.75" customHeight="1">
      <c r="B532" s="48"/>
    </row>
    <row r="533" ht="15.75" customHeight="1">
      <c r="B533" s="48"/>
    </row>
    <row r="534" ht="15.75" customHeight="1">
      <c r="B534" s="48"/>
    </row>
    <row r="535" ht="15.75" customHeight="1">
      <c r="B535" s="48"/>
    </row>
    <row r="536" ht="15.75" customHeight="1">
      <c r="B536" s="48"/>
    </row>
    <row r="537" ht="15.75" customHeight="1">
      <c r="B537" s="48"/>
    </row>
    <row r="538" ht="15.75" customHeight="1">
      <c r="B538" s="48"/>
    </row>
    <row r="539" ht="15.75" customHeight="1">
      <c r="B539" s="48"/>
    </row>
    <row r="540" ht="15.75" customHeight="1">
      <c r="B540" s="48"/>
    </row>
    <row r="541" ht="15.75" customHeight="1">
      <c r="B541" s="48"/>
    </row>
    <row r="542" ht="15.75" customHeight="1">
      <c r="B542" s="48"/>
    </row>
    <row r="543" ht="15.75" customHeight="1">
      <c r="B543" s="48"/>
    </row>
    <row r="544" ht="15.75" customHeight="1">
      <c r="B544" s="48"/>
    </row>
    <row r="545" ht="15.75" customHeight="1">
      <c r="B545" s="48"/>
    </row>
    <row r="546" ht="15.75" customHeight="1">
      <c r="B546" s="48"/>
    </row>
    <row r="547" ht="15.75" customHeight="1">
      <c r="B547" s="48"/>
    </row>
    <row r="548" ht="15.75" customHeight="1">
      <c r="B548" s="48"/>
    </row>
    <row r="549" ht="15.75" customHeight="1">
      <c r="B549" s="48"/>
    </row>
    <row r="550" ht="15.75" customHeight="1">
      <c r="B550" s="48"/>
    </row>
    <row r="551" ht="15.75" customHeight="1">
      <c r="B551" s="48"/>
    </row>
    <row r="552" ht="15.75" customHeight="1">
      <c r="B552" s="48"/>
    </row>
    <row r="553" ht="15.75" customHeight="1">
      <c r="B553" s="48"/>
    </row>
    <row r="554" ht="15.75" customHeight="1">
      <c r="B554" s="48"/>
    </row>
    <row r="555" ht="15.75" customHeight="1">
      <c r="B555" s="48"/>
    </row>
    <row r="556" ht="15.75" customHeight="1">
      <c r="B556" s="48"/>
    </row>
    <row r="557" ht="15.75" customHeight="1">
      <c r="B557" s="48"/>
    </row>
    <row r="558" ht="15.75" customHeight="1">
      <c r="B558" s="48"/>
    </row>
    <row r="559" ht="15.75" customHeight="1">
      <c r="B559" s="48"/>
    </row>
    <row r="560" ht="15.75" customHeight="1">
      <c r="B560" s="48"/>
    </row>
    <row r="561" ht="15.75" customHeight="1">
      <c r="B561" s="48"/>
    </row>
    <row r="562" ht="15.75" customHeight="1">
      <c r="B562" s="48"/>
    </row>
    <row r="563" ht="15.75" customHeight="1">
      <c r="B563" s="48"/>
    </row>
    <row r="564" ht="15.75" customHeight="1">
      <c r="B564" s="48"/>
    </row>
    <row r="565" ht="15.75" customHeight="1">
      <c r="B565" s="48"/>
    </row>
    <row r="566" ht="15.75" customHeight="1">
      <c r="B566" s="48"/>
    </row>
    <row r="567" ht="15.75" customHeight="1">
      <c r="B567" s="48"/>
    </row>
    <row r="568" ht="15.75" customHeight="1">
      <c r="B568" s="48"/>
    </row>
    <row r="569" ht="15.75" customHeight="1">
      <c r="B569" s="48"/>
    </row>
    <row r="570" ht="15.75" customHeight="1">
      <c r="B570" s="48"/>
    </row>
    <row r="571" ht="15.75" customHeight="1">
      <c r="B571" s="48"/>
    </row>
    <row r="572" ht="15.75" customHeight="1">
      <c r="B572" s="48"/>
    </row>
    <row r="573" ht="15.75" customHeight="1">
      <c r="B573" s="48"/>
    </row>
    <row r="574" ht="15.75" customHeight="1">
      <c r="B574" s="48"/>
    </row>
    <row r="575" ht="15.75" customHeight="1">
      <c r="B575" s="48"/>
    </row>
    <row r="576" ht="15.75" customHeight="1">
      <c r="B576" s="48"/>
    </row>
    <row r="577" ht="15.75" customHeight="1">
      <c r="B577" s="48"/>
    </row>
    <row r="578" ht="15.75" customHeight="1">
      <c r="B578" s="48"/>
    </row>
    <row r="579" ht="15.75" customHeight="1">
      <c r="B579" s="48"/>
    </row>
    <row r="580" ht="15.75" customHeight="1">
      <c r="B580" s="48"/>
    </row>
    <row r="581" ht="15.75" customHeight="1">
      <c r="B581" s="48"/>
    </row>
    <row r="582" ht="15.75" customHeight="1">
      <c r="B582" s="48"/>
    </row>
    <row r="583" ht="15.75" customHeight="1">
      <c r="B583" s="48"/>
    </row>
    <row r="584" ht="15.75" customHeight="1">
      <c r="B584" s="48"/>
    </row>
    <row r="585" ht="15.75" customHeight="1">
      <c r="B585" s="48"/>
    </row>
    <row r="586" ht="15.75" customHeight="1">
      <c r="B586" s="48"/>
    </row>
    <row r="587" ht="15.75" customHeight="1">
      <c r="B587" s="48"/>
    </row>
    <row r="588" ht="15.75" customHeight="1">
      <c r="B588" s="48"/>
    </row>
    <row r="589" ht="15.75" customHeight="1">
      <c r="B589" s="48"/>
    </row>
    <row r="590" ht="15.75" customHeight="1">
      <c r="B590" s="48"/>
    </row>
    <row r="591" ht="15.75" customHeight="1">
      <c r="B591" s="48"/>
    </row>
    <row r="592" ht="15.75" customHeight="1">
      <c r="B592" s="48"/>
    </row>
    <row r="593" ht="15.75" customHeight="1">
      <c r="B593" s="48"/>
    </row>
    <row r="594" ht="15.75" customHeight="1">
      <c r="B594" s="48"/>
    </row>
    <row r="595" ht="15.75" customHeight="1">
      <c r="B595" s="48"/>
    </row>
    <row r="596" ht="15.75" customHeight="1">
      <c r="B596" s="48"/>
    </row>
    <row r="597" ht="15.75" customHeight="1">
      <c r="B597" s="48"/>
    </row>
    <row r="598" ht="15.75" customHeight="1">
      <c r="B598" s="48"/>
    </row>
    <row r="599" ht="15.75" customHeight="1">
      <c r="B599" s="48"/>
    </row>
    <row r="600" ht="15.75" customHeight="1">
      <c r="B600" s="48"/>
    </row>
    <row r="601" ht="15.75" customHeight="1">
      <c r="B601" s="48"/>
    </row>
    <row r="602" ht="15.75" customHeight="1">
      <c r="B602" s="48"/>
    </row>
    <row r="603" ht="15.75" customHeight="1">
      <c r="B603" s="48"/>
    </row>
    <row r="604" ht="15.75" customHeight="1">
      <c r="B604" s="48"/>
    </row>
    <row r="605" ht="15.75" customHeight="1">
      <c r="B605" s="48"/>
    </row>
    <row r="606" ht="15.75" customHeight="1">
      <c r="B606" s="48"/>
    </row>
    <row r="607" ht="15.75" customHeight="1">
      <c r="B607" s="48"/>
    </row>
    <row r="608" ht="15.75" customHeight="1">
      <c r="B608" s="48"/>
    </row>
    <row r="609" ht="15.75" customHeight="1">
      <c r="B609" s="48"/>
    </row>
    <row r="610" ht="15.75" customHeight="1">
      <c r="B610" s="48"/>
    </row>
    <row r="611" ht="15.75" customHeight="1">
      <c r="B611" s="48"/>
    </row>
    <row r="612" ht="15.75" customHeight="1">
      <c r="B612" s="48"/>
    </row>
    <row r="613" ht="15.75" customHeight="1">
      <c r="B613" s="48"/>
    </row>
    <row r="614" ht="15.75" customHeight="1">
      <c r="B614" s="48"/>
    </row>
    <row r="615" ht="15.75" customHeight="1">
      <c r="B615" s="48"/>
    </row>
    <row r="616" ht="15.75" customHeight="1">
      <c r="B616" s="48"/>
    </row>
    <row r="617" ht="15.75" customHeight="1">
      <c r="B617" s="48"/>
    </row>
    <row r="618" ht="15.75" customHeight="1">
      <c r="B618" s="48"/>
    </row>
    <row r="619" ht="15.75" customHeight="1">
      <c r="B619" s="48"/>
    </row>
    <row r="620" ht="15.75" customHeight="1">
      <c r="B620" s="48"/>
    </row>
    <row r="621" ht="15.75" customHeight="1">
      <c r="B621" s="48"/>
    </row>
    <row r="622" ht="15.75" customHeight="1">
      <c r="B622" s="48"/>
    </row>
    <row r="623" ht="15.75" customHeight="1">
      <c r="B623" s="48"/>
    </row>
    <row r="624" ht="15.75" customHeight="1">
      <c r="B624" s="48"/>
    </row>
    <row r="625" ht="15.75" customHeight="1">
      <c r="B625" s="48"/>
    </row>
    <row r="626" ht="15.75" customHeight="1">
      <c r="B626" s="48"/>
    </row>
    <row r="627" ht="15.75" customHeight="1">
      <c r="B627" s="48"/>
    </row>
    <row r="628" ht="15.75" customHeight="1">
      <c r="B628" s="48"/>
    </row>
    <row r="629" ht="15.75" customHeight="1">
      <c r="B629" s="48"/>
    </row>
    <row r="630" ht="15.75" customHeight="1">
      <c r="B630" s="48"/>
    </row>
    <row r="631" ht="15.75" customHeight="1">
      <c r="B631" s="48"/>
    </row>
    <row r="632" ht="15.75" customHeight="1">
      <c r="B632" s="48"/>
    </row>
    <row r="633" ht="15.75" customHeight="1">
      <c r="B633" s="48"/>
    </row>
    <row r="634" ht="15.75" customHeight="1">
      <c r="B634" s="48"/>
    </row>
    <row r="635" ht="15.75" customHeight="1">
      <c r="B635" s="48"/>
    </row>
    <row r="636" ht="15.75" customHeight="1">
      <c r="B636" s="48"/>
    </row>
    <row r="637" ht="15.75" customHeight="1">
      <c r="B637" s="48"/>
    </row>
    <row r="638" ht="15.75" customHeight="1">
      <c r="B638" s="48"/>
    </row>
    <row r="639" ht="15.75" customHeight="1">
      <c r="B639" s="48"/>
    </row>
    <row r="640" ht="15.75" customHeight="1">
      <c r="B640" s="48"/>
    </row>
    <row r="641" ht="15.75" customHeight="1">
      <c r="B641" s="48"/>
    </row>
    <row r="642" ht="15.75" customHeight="1">
      <c r="B642" s="48"/>
    </row>
    <row r="643" ht="15.75" customHeight="1">
      <c r="B643" s="48"/>
    </row>
    <row r="644" ht="15.75" customHeight="1">
      <c r="B644" s="48"/>
    </row>
    <row r="645" ht="15.75" customHeight="1">
      <c r="B645" s="48"/>
    </row>
    <row r="646" ht="15.75" customHeight="1">
      <c r="B646" s="48"/>
    </row>
    <row r="647" ht="15.75" customHeight="1">
      <c r="B647" s="48"/>
    </row>
    <row r="648" ht="15.75" customHeight="1">
      <c r="B648" s="48"/>
    </row>
    <row r="649" ht="15.75" customHeight="1">
      <c r="B649" s="48"/>
    </row>
    <row r="650" ht="15.75" customHeight="1">
      <c r="B650" s="48"/>
    </row>
    <row r="651" ht="15.75" customHeight="1">
      <c r="B651" s="48"/>
    </row>
    <row r="652" ht="15.75" customHeight="1">
      <c r="B652" s="48"/>
    </row>
    <row r="653" ht="15.75" customHeight="1">
      <c r="B653" s="48"/>
    </row>
    <row r="654" ht="15.75" customHeight="1">
      <c r="B654" s="48"/>
    </row>
    <row r="655" ht="15.75" customHeight="1">
      <c r="B655" s="48"/>
    </row>
    <row r="656" ht="15.75" customHeight="1">
      <c r="B656" s="48"/>
    </row>
    <row r="657" ht="15.75" customHeight="1">
      <c r="B657" s="48"/>
    </row>
    <row r="658" ht="15.75" customHeight="1">
      <c r="B658" s="48"/>
    </row>
    <row r="659" ht="15.75" customHeight="1">
      <c r="B659" s="48"/>
    </row>
    <row r="660" ht="15.75" customHeight="1">
      <c r="B660" s="48"/>
    </row>
    <row r="661" ht="15.75" customHeight="1">
      <c r="B661" s="48"/>
    </row>
    <row r="662" ht="15.75" customHeight="1">
      <c r="B662" s="48"/>
    </row>
    <row r="663" ht="15.75" customHeight="1">
      <c r="B663" s="48"/>
    </row>
    <row r="664" ht="15.75" customHeight="1">
      <c r="B664" s="48"/>
    </row>
    <row r="665" ht="15.75" customHeight="1">
      <c r="B665" s="48"/>
    </row>
    <row r="666" ht="15.75" customHeight="1">
      <c r="B666" s="48"/>
    </row>
    <row r="667" ht="15.75" customHeight="1">
      <c r="B667" s="48"/>
    </row>
    <row r="668" ht="15.75" customHeight="1">
      <c r="B668" s="48"/>
    </row>
    <row r="669" ht="15.75" customHeight="1">
      <c r="B669" s="48"/>
    </row>
    <row r="670" ht="15.75" customHeight="1">
      <c r="B670" s="48"/>
    </row>
    <row r="671" ht="15.75" customHeight="1">
      <c r="B671" s="48"/>
    </row>
    <row r="672" ht="15.75" customHeight="1">
      <c r="B672" s="48"/>
    </row>
    <row r="673" ht="15.75" customHeight="1">
      <c r="B673" s="48"/>
    </row>
    <row r="674" ht="15.75" customHeight="1">
      <c r="B674" s="48"/>
    </row>
    <row r="675" ht="15.75" customHeight="1">
      <c r="B675" s="48"/>
    </row>
    <row r="676" ht="15.75" customHeight="1">
      <c r="B676" s="48"/>
    </row>
    <row r="677" ht="15.75" customHeight="1">
      <c r="B677" s="48"/>
    </row>
    <row r="678" ht="15.75" customHeight="1">
      <c r="B678" s="48"/>
    </row>
    <row r="679" ht="15.75" customHeight="1">
      <c r="B679" s="48"/>
    </row>
    <row r="680" ht="15.75" customHeight="1">
      <c r="B680" s="48"/>
    </row>
    <row r="681" ht="15.75" customHeight="1">
      <c r="B681" s="48"/>
    </row>
    <row r="682" ht="15.75" customHeight="1">
      <c r="B682" s="48"/>
    </row>
    <row r="683" ht="15.75" customHeight="1">
      <c r="B683" s="48"/>
    </row>
    <row r="684" ht="15.75" customHeight="1">
      <c r="B684" s="48"/>
    </row>
    <row r="685" ht="15.75" customHeight="1">
      <c r="B685" s="48"/>
    </row>
    <row r="686" ht="15.75" customHeight="1">
      <c r="B686" s="48"/>
    </row>
    <row r="687" ht="15.75" customHeight="1">
      <c r="B687" s="48"/>
    </row>
    <row r="688" ht="15.75" customHeight="1">
      <c r="B688" s="48"/>
    </row>
    <row r="689" ht="15.75" customHeight="1">
      <c r="B689" s="48"/>
    </row>
    <row r="690" ht="15.75" customHeight="1">
      <c r="B690" s="48"/>
    </row>
    <row r="691" ht="15.75" customHeight="1">
      <c r="B691" s="48"/>
    </row>
    <row r="692" ht="15.75" customHeight="1">
      <c r="B692" s="48"/>
    </row>
    <row r="693" ht="15.75" customHeight="1">
      <c r="B693" s="48"/>
    </row>
    <row r="694" ht="15.75" customHeight="1">
      <c r="B694" s="48"/>
    </row>
    <row r="695" ht="15.75" customHeight="1">
      <c r="B695" s="48"/>
    </row>
    <row r="696" ht="15.75" customHeight="1">
      <c r="B696" s="48"/>
    </row>
    <row r="697" ht="15.75" customHeight="1">
      <c r="B697" s="48"/>
    </row>
    <row r="698" ht="15.75" customHeight="1">
      <c r="B698" s="48"/>
    </row>
    <row r="699" ht="15.75" customHeight="1">
      <c r="B699" s="48"/>
    </row>
    <row r="700" ht="15.75" customHeight="1">
      <c r="B700" s="48"/>
    </row>
    <row r="701" ht="15.75" customHeight="1">
      <c r="B701" s="48"/>
    </row>
    <row r="702" ht="15.75" customHeight="1">
      <c r="B702" s="48"/>
    </row>
    <row r="703" ht="15.75" customHeight="1">
      <c r="B703" s="48"/>
    </row>
    <row r="704" ht="15.75" customHeight="1">
      <c r="B704" s="48"/>
    </row>
    <row r="705" ht="15.75" customHeight="1">
      <c r="B705" s="48"/>
    </row>
    <row r="706" ht="15.75" customHeight="1">
      <c r="B706" s="48"/>
    </row>
    <row r="707" ht="15.75" customHeight="1">
      <c r="B707" s="48"/>
    </row>
    <row r="708" ht="15.75" customHeight="1">
      <c r="B708" s="48"/>
    </row>
    <row r="709" ht="15.75" customHeight="1">
      <c r="B709" s="48"/>
    </row>
    <row r="710" ht="15.75" customHeight="1">
      <c r="B710" s="48"/>
    </row>
    <row r="711" ht="15.75" customHeight="1">
      <c r="B711" s="48"/>
    </row>
    <row r="712" ht="15.75" customHeight="1">
      <c r="B712" s="48"/>
    </row>
    <row r="713" ht="15.75" customHeight="1">
      <c r="B713" s="48"/>
    </row>
    <row r="714" ht="15.75" customHeight="1">
      <c r="B714" s="48"/>
    </row>
    <row r="715" ht="15.75" customHeight="1">
      <c r="B715" s="48"/>
    </row>
    <row r="716" ht="15.75" customHeight="1">
      <c r="B716" s="48"/>
    </row>
    <row r="717" ht="15.75" customHeight="1">
      <c r="B717" s="48"/>
    </row>
    <row r="718" ht="15.75" customHeight="1">
      <c r="B718" s="48"/>
    </row>
    <row r="719" ht="15.75" customHeight="1">
      <c r="B719" s="48"/>
    </row>
    <row r="720" ht="15.75" customHeight="1">
      <c r="B720" s="48"/>
    </row>
    <row r="721" ht="15.75" customHeight="1">
      <c r="B721" s="48"/>
    </row>
    <row r="722" ht="15.75" customHeight="1">
      <c r="B722" s="48"/>
    </row>
    <row r="723" ht="15.75" customHeight="1">
      <c r="B723" s="48"/>
    </row>
    <row r="724" ht="15.75" customHeight="1">
      <c r="B724" s="48"/>
    </row>
    <row r="725" ht="15.75" customHeight="1">
      <c r="B725" s="48"/>
    </row>
    <row r="726" ht="15.75" customHeight="1">
      <c r="B726" s="48"/>
    </row>
    <row r="727" ht="15.75" customHeight="1">
      <c r="B727" s="48"/>
    </row>
    <row r="728" ht="15.75" customHeight="1">
      <c r="B728" s="48"/>
    </row>
    <row r="729" ht="15.75" customHeight="1">
      <c r="B729" s="48"/>
    </row>
    <row r="730" ht="15.75" customHeight="1">
      <c r="B730" s="48"/>
    </row>
    <row r="731" ht="15.75" customHeight="1">
      <c r="B731" s="48"/>
    </row>
    <row r="732" ht="15.75" customHeight="1">
      <c r="B732" s="48"/>
    </row>
    <row r="733" ht="15.75" customHeight="1">
      <c r="B733" s="48"/>
    </row>
    <row r="734" ht="15.75" customHeight="1">
      <c r="B734" s="48"/>
    </row>
    <row r="735" ht="15.75" customHeight="1">
      <c r="B735" s="48"/>
    </row>
    <row r="736" ht="15.75" customHeight="1">
      <c r="B736" s="48"/>
    </row>
    <row r="737" ht="15.75" customHeight="1">
      <c r="B737" s="48"/>
    </row>
    <row r="738" ht="15.75" customHeight="1">
      <c r="B738" s="48"/>
    </row>
    <row r="739" ht="15.75" customHeight="1">
      <c r="B739" s="48"/>
    </row>
    <row r="740" ht="15.75" customHeight="1">
      <c r="B740" s="48"/>
    </row>
    <row r="741" ht="15.75" customHeight="1">
      <c r="B741" s="48"/>
    </row>
    <row r="742" ht="15.75" customHeight="1">
      <c r="B742" s="48"/>
    </row>
    <row r="743" ht="15.75" customHeight="1">
      <c r="B743" s="48"/>
    </row>
    <row r="744" ht="15.75" customHeight="1">
      <c r="B744" s="48"/>
    </row>
    <row r="745" ht="15.75" customHeight="1">
      <c r="B745" s="48"/>
    </row>
    <row r="746" ht="15.75" customHeight="1">
      <c r="B746" s="48"/>
    </row>
    <row r="747" ht="15.75" customHeight="1">
      <c r="B747" s="48"/>
    </row>
    <row r="748" ht="15.75" customHeight="1">
      <c r="B748" s="48"/>
    </row>
    <row r="749" ht="15.75" customHeight="1">
      <c r="B749" s="48"/>
    </row>
    <row r="750" ht="15.75" customHeight="1">
      <c r="B750" s="48"/>
    </row>
    <row r="751" ht="15.75" customHeight="1">
      <c r="B751" s="48"/>
    </row>
    <row r="752" ht="15.75" customHeight="1">
      <c r="B752" s="48"/>
    </row>
    <row r="753" ht="15.75" customHeight="1">
      <c r="B753" s="48"/>
    </row>
    <row r="754" ht="15.75" customHeight="1">
      <c r="B754" s="48"/>
    </row>
    <row r="755" ht="15.75" customHeight="1">
      <c r="B755" s="48"/>
    </row>
    <row r="756" ht="15.75" customHeight="1">
      <c r="B756" s="48"/>
    </row>
    <row r="757" ht="15.75" customHeight="1">
      <c r="B757" s="48"/>
    </row>
    <row r="758" ht="15.75" customHeight="1">
      <c r="B758" s="48"/>
    </row>
    <row r="759" ht="15.75" customHeight="1">
      <c r="B759" s="48"/>
    </row>
    <row r="760" ht="15.75" customHeight="1">
      <c r="B760" s="48"/>
    </row>
    <row r="761" ht="15.75" customHeight="1">
      <c r="B761" s="48"/>
    </row>
    <row r="762" ht="15.75" customHeight="1">
      <c r="B762" s="48"/>
    </row>
    <row r="763" ht="15.75" customHeight="1">
      <c r="B763" s="48"/>
    </row>
    <row r="764" ht="15.75" customHeight="1">
      <c r="B764" s="48"/>
    </row>
    <row r="765" ht="15.75" customHeight="1">
      <c r="B765" s="48"/>
    </row>
    <row r="766" ht="15.75" customHeight="1">
      <c r="B766" s="48"/>
    </row>
    <row r="767" ht="15.75" customHeight="1">
      <c r="B767" s="48"/>
    </row>
    <row r="768" ht="15.75" customHeight="1">
      <c r="B768" s="48"/>
    </row>
    <row r="769" ht="15.75" customHeight="1">
      <c r="B769" s="48"/>
    </row>
    <row r="770" ht="15.75" customHeight="1">
      <c r="B770" s="48"/>
    </row>
    <row r="771" ht="15.75" customHeight="1">
      <c r="B771" s="48"/>
    </row>
    <row r="772" ht="15.75" customHeight="1">
      <c r="B772" s="48"/>
    </row>
    <row r="773" ht="15.75" customHeight="1">
      <c r="B773" s="48"/>
    </row>
    <row r="774" ht="15.75" customHeight="1">
      <c r="B774" s="48"/>
    </row>
    <row r="775" ht="15.75" customHeight="1">
      <c r="B775" s="48"/>
    </row>
    <row r="776" ht="15.75" customHeight="1">
      <c r="B776" s="48"/>
    </row>
    <row r="777" ht="15.75" customHeight="1">
      <c r="B777" s="48"/>
    </row>
    <row r="778" ht="15.75" customHeight="1">
      <c r="B778" s="48"/>
    </row>
    <row r="779" ht="15.75" customHeight="1">
      <c r="B779" s="48"/>
    </row>
    <row r="780" ht="15.75" customHeight="1">
      <c r="B780" s="48"/>
    </row>
    <row r="781" ht="15.75" customHeight="1">
      <c r="B781" s="48"/>
    </row>
    <row r="782" ht="15.75" customHeight="1">
      <c r="B782" s="48"/>
    </row>
    <row r="783" ht="15.75" customHeight="1">
      <c r="B783" s="48"/>
    </row>
    <row r="784" ht="15.75" customHeight="1">
      <c r="B784" s="48"/>
    </row>
    <row r="785" ht="15.75" customHeight="1">
      <c r="B785" s="48"/>
    </row>
    <row r="786" ht="15.75" customHeight="1">
      <c r="B786" s="48"/>
    </row>
    <row r="787" ht="15.75" customHeight="1">
      <c r="B787" s="48"/>
    </row>
    <row r="788" ht="15.75" customHeight="1">
      <c r="B788" s="48"/>
    </row>
    <row r="789" ht="15.75" customHeight="1">
      <c r="B789" s="48"/>
    </row>
    <row r="790" ht="15.75" customHeight="1">
      <c r="B790" s="48"/>
    </row>
    <row r="791" ht="15.75" customHeight="1">
      <c r="B791" s="48"/>
    </row>
    <row r="792" ht="15.75" customHeight="1">
      <c r="B792" s="48"/>
    </row>
    <row r="793" ht="15.75" customHeight="1">
      <c r="B793" s="48"/>
    </row>
    <row r="794" ht="15.75" customHeight="1">
      <c r="B794" s="48"/>
    </row>
    <row r="795" ht="15.75" customHeight="1">
      <c r="B795" s="48"/>
    </row>
    <row r="796" ht="15.75" customHeight="1">
      <c r="B796" s="48"/>
    </row>
    <row r="797" ht="15.75" customHeight="1">
      <c r="B797" s="48"/>
    </row>
    <row r="798" ht="15.75" customHeight="1">
      <c r="B798" s="48"/>
    </row>
    <row r="799" ht="15.75" customHeight="1">
      <c r="B799" s="48"/>
    </row>
    <row r="800" ht="15.75" customHeight="1">
      <c r="B800" s="48"/>
    </row>
    <row r="801" ht="15.75" customHeight="1">
      <c r="B801" s="48"/>
    </row>
    <row r="802" ht="15.75" customHeight="1">
      <c r="B802" s="48"/>
    </row>
    <row r="803" ht="15.75" customHeight="1">
      <c r="B803" s="48"/>
    </row>
    <row r="804" ht="15.75" customHeight="1">
      <c r="B804" s="48"/>
    </row>
    <row r="805" ht="15.75" customHeight="1">
      <c r="B805" s="48"/>
    </row>
    <row r="806" ht="15.75" customHeight="1">
      <c r="B806" s="48"/>
    </row>
    <row r="807" ht="15.75" customHeight="1">
      <c r="B807" s="48"/>
    </row>
    <row r="808" ht="15.75" customHeight="1">
      <c r="B808" s="48"/>
    </row>
    <row r="809" ht="15.75" customHeight="1">
      <c r="B809" s="48"/>
    </row>
    <row r="810" ht="15.75" customHeight="1">
      <c r="B810" s="48"/>
    </row>
    <row r="811" ht="15.75" customHeight="1">
      <c r="B811" s="48"/>
    </row>
    <row r="812" ht="15.75" customHeight="1">
      <c r="B812" s="48"/>
    </row>
    <row r="813" ht="15.75" customHeight="1">
      <c r="B813" s="48"/>
    </row>
    <row r="814" ht="15.75" customHeight="1">
      <c r="B814" s="48"/>
    </row>
    <row r="815" ht="15.75" customHeight="1">
      <c r="B815" s="48"/>
    </row>
    <row r="816" ht="15.75" customHeight="1">
      <c r="B816" s="48"/>
    </row>
    <row r="817" ht="15.75" customHeight="1">
      <c r="B817" s="48"/>
    </row>
    <row r="818" ht="15.75" customHeight="1">
      <c r="B818" s="48"/>
    </row>
    <row r="819" ht="15.75" customHeight="1">
      <c r="B819" s="48"/>
    </row>
    <row r="820" ht="15.75" customHeight="1">
      <c r="B820" s="48"/>
    </row>
    <row r="821" ht="15.75" customHeight="1">
      <c r="B821" s="48"/>
    </row>
    <row r="822" ht="15.75" customHeight="1">
      <c r="B822" s="48"/>
    </row>
    <row r="823" ht="15.75" customHeight="1">
      <c r="B823" s="48"/>
    </row>
    <row r="824" ht="15.75" customHeight="1">
      <c r="B824" s="48"/>
    </row>
    <row r="825" ht="15.75" customHeight="1">
      <c r="B825" s="48"/>
    </row>
    <row r="826" ht="15.75" customHeight="1">
      <c r="B826" s="48"/>
    </row>
    <row r="827" ht="15.75" customHeight="1">
      <c r="B827" s="48"/>
    </row>
    <row r="828" ht="15.75" customHeight="1">
      <c r="B828" s="48"/>
    </row>
    <row r="829" ht="15.75" customHeight="1">
      <c r="B829" s="48"/>
    </row>
    <row r="830" ht="15.75" customHeight="1">
      <c r="B830" s="48"/>
    </row>
    <row r="831" ht="15.75" customHeight="1">
      <c r="B831" s="48"/>
    </row>
    <row r="832" ht="15.75" customHeight="1">
      <c r="B832" s="48"/>
    </row>
    <row r="833" ht="15.75" customHeight="1">
      <c r="B833" s="48"/>
    </row>
    <row r="834" ht="15.75" customHeight="1">
      <c r="B834" s="48"/>
    </row>
    <row r="835" ht="15.75" customHeight="1">
      <c r="B835" s="48"/>
    </row>
    <row r="836" ht="15.75" customHeight="1">
      <c r="B836" s="48"/>
    </row>
    <row r="837" ht="15.75" customHeight="1">
      <c r="B837" s="48"/>
    </row>
    <row r="838" ht="15.75" customHeight="1">
      <c r="B838" s="48"/>
    </row>
    <row r="839" ht="15.75" customHeight="1">
      <c r="B839" s="48"/>
    </row>
    <row r="840" ht="15.75" customHeight="1">
      <c r="B840" s="48"/>
    </row>
    <row r="841" ht="15.75" customHeight="1">
      <c r="B841" s="48"/>
    </row>
    <row r="842" ht="15.75" customHeight="1">
      <c r="B842" s="48"/>
    </row>
    <row r="843" ht="15.75" customHeight="1">
      <c r="B843" s="48"/>
    </row>
    <row r="844" ht="15.75" customHeight="1">
      <c r="B844" s="48"/>
    </row>
    <row r="845" ht="15.75" customHeight="1">
      <c r="B845" s="48"/>
    </row>
    <row r="846" ht="15.75" customHeight="1">
      <c r="B846" s="48"/>
    </row>
    <row r="847" ht="15.75" customHeight="1">
      <c r="B847" s="48"/>
    </row>
    <row r="848" ht="15.75" customHeight="1">
      <c r="B848" s="48"/>
    </row>
    <row r="849" ht="15.75" customHeight="1">
      <c r="B849" s="48"/>
    </row>
    <row r="850" ht="15.75" customHeight="1">
      <c r="B850" s="48"/>
    </row>
    <row r="851" ht="15.75" customHeight="1">
      <c r="B851" s="48"/>
    </row>
    <row r="852" ht="15.75" customHeight="1">
      <c r="B852" s="48"/>
    </row>
    <row r="853" ht="15.75" customHeight="1">
      <c r="B853" s="48"/>
    </row>
    <row r="854" ht="15.75" customHeight="1">
      <c r="B854" s="48"/>
    </row>
    <row r="855" ht="15.75" customHeight="1">
      <c r="B855" s="48"/>
    </row>
    <row r="856" ht="15.75" customHeight="1">
      <c r="B856" s="48"/>
    </row>
    <row r="857" ht="15.75" customHeight="1">
      <c r="B857" s="48"/>
    </row>
    <row r="858" ht="15.75" customHeight="1">
      <c r="B858" s="48"/>
    </row>
    <row r="859" ht="15.75" customHeight="1">
      <c r="B859" s="48"/>
    </row>
    <row r="860" ht="15.75" customHeight="1">
      <c r="B860" s="48"/>
    </row>
    <row r="861" ht="15.75" customHeight="1">
      <c r="B861" s="48"/>
    </row>
    <row r="862" ht="15.75" customHeight="1">
      <c r="B862" s="48"/>
    </row>
    <row r="863" ht="15.75" customHeight="1">
      <c r="B863" s="48"/>
    </row>
    <row r="864" ht="15.75" customHeight="1">
      <c r="B864" s="48"/>
    </row>
    <row r="865" ht="15.75" customHeight="1">
      <c r="B865" s="48"/>
    </row>
    <row r="866" ht="15.75" customHeight="1">
      <c r="B866" s="48"/>
    </row>
    <row r="867" ht="15.75" customHeight="1">
      <c r="B867" s="48"/>
    </row>
    <row r="868" ht="15.75" customHeight="1">
      <c r="B868" s="48"/>
    </row>
    <row r="869" ht="15.75" customHeight="1">
      <c r="B869" s="48"/>
    </row>
    <row r="870" ht="15.75" customHeight="1">
      <c r="B870" s="48"/>
    </row>
    <row r="871" ht="15.75" customHeight="1">
      <c r="B871" s="48"/>
    </row>
    <row r="872" ht="15.75" customHeight="1">
      <c r="B872" s="48"/>
    </row>
    <row r="873" ht="15.75" customHeight="1">
      <c r="B873" s="48"/>
    </row>
    <row r="874" ht="15.75" customHeight="1">
      <c r="B874" s="48"/>
    </row>
    <row r="875" ht="15.75" customHeight="1">
      <c r="B875" s="48"/>
    </row>
    <row r="876" ht="15.75" customHeight="1">
      <c r="B876" s="48"/>
    </row>
    <row r="877" ht="15.75" customHeight="1">
      <c r="B877" s="48"/>
    </row>
    <row r="878" ht="15.75" customHeight="1">
      <c r="B878" s="48"/>
    </row>
    <row r="879" ht="15.75" customHeight="1">
      <c r="B879" s="48"/>
    </row>
    <row r="880" ht="15.75" customHeight="1">
      <c r="B880" s="48"/>
    </row>
    <row r="881" ht="15.75" customHeight="1">
      <c r="B881" s="48"/>
    </row>
    <row r="882" ht="15.75" customHeight="1">
      <c r="B882" s="48"/>
    </row>
    <row r="883" ht="15.75" customHeight="1">
      <c r="B883" s="48"/>
    </row>
    <row r="884" ht="15.75" customHeight="1">
      <c r="B884" s="48"/>
    </row>
    <row r="885" ht="15.75" customHeight="1">
      <c r="B885" s="48"/>
    </row>
    <row r="886" ht="15.75" customHeight="1">
      <c r="B886" s="48"/>
    </row>
    <row r="887" ht="15.75" customHeight="1">
      <c r="B887" s="48"/>
    </row>
    <row r="888" ht="15.75" customHeight="1">
      <c r="B888" s="48"/>
    </row>
    <row r="889" ht="15.75" customHeight="1">
      <c r="B889" s="48"/>
    </row>
    <row r="890" ht="15.75" customHeight="1">
      <c r="B890" s="48"/>
    </row>
    <row r="891" ht="15.75" customHeight="1">
      <c r="B891" s="48"/>
    </row>
    <row r="892" ht="15.75" customHeight="1">
      <c r="B892" s="48"/>
    </row>
    <row r="893" ht="15.75" customHeight="1">
      <c r="B893" s="48"/>
    </row>
    <row r="894" ht="15.75" customHeight="1">
      <c r="B894" s="48"/>
    </row>
    <row r="895" ht="15.75" customHeight="1">
      <c r="B895" s="48"/>
    </row>
    <row r="896" ht="15.75" customHeight="1">
      <c r="B896" s="48"/>
    </row>
    <row r="897" ht="15.75" customHeight="1">
      <c r="B897" s="48"/>
    </row>
    <row r="898" ht="15.75" customHeight="1">
      <c r="B898" s="48"/>
    </row>
    <row r="899" ht="15.75" customHeight="1">
      <c r="B899" s="48"/>
    </row>
    <row r="900" ht="15.75" customHeight="1">
      <c r="B900" s="48"/>
    </row>
    <row r="901" ht="15.75" customHeight="1">
      <c r="B901" s="48"/>
    </row>
    <row r="902" ht="15.75" customHeight="1">
      <c r="B902" s="48"/>
    </row>
    <row r="903" ht="15.75" customHeight="1">
      <c r="B903" s="48"/>
    </row>
    <row r="904" ht="15.75" customHeight="1">
      <c r="B904" s="48"/>
    </row>
    <row r="905" ht="15.75" customHeight="1">
      <c r="B905" s="48"/>
    </row>
    <row r="906" ht="15.75" customHeight="1">
      <c r="B906" s="48"/>
    </row>
    <row r="907" ht="15.75" customHeight="1">
      <c r="B907" s="48"/>
    </row>
    <row r="908" ht="15.75" customHeight="1">
      <c r="B908" s="48"/>
    </row>
    <row r="909" ht="15.75" customHeight="1">
      <c r="B909" s="48"/>
    </row>
    <row r="910" ht="15.75" customHeight="1">
      <c r="B910" s="48"/>
    </row>
    <row r="911" ht="15.75" customHeight="1">
      <c r="B911" s="48"/>
    </row>
    <row r="912" ht="15.75" customHeight="1">
      <c r="B912" s="48"/>
    </row>
    <row r="913" ht="15.75" customHeight="1">
      <c r="B913" s="48"/>
    </row>
    <row r="914" ht="15.75" customHeight="1">
      <c r="B914" s="48"/>
    </row>
    <row r="915" ht="15.75" customHeight="1">
      <c r="B915" s="48"/>
    </row>
    <row r="916" ht="15.75" customHeight="1">
      <c r="B916" s="48"/>
    </row>
    <row r="917" ht="15.75" customHeight="1">
      <c r="B917" s="48"/>
    </row>
    <row r="918" ht="15.75" customHeight="1">
      <c r="B918" s="48"/>
    </row>
    <row r="919" ht="15.75" customHeight="1">
      <c r="B919" s="48"/>
    </row>
    <row r="920" ht="15.75" customHeight="1">
      <c r="B920" s="48"/>
    </row>
    <row r="921" ht="15.75" customHeight="1">
      <c r="B921" s="48"/>
    </row>
    <row r="922" ht="15.75" customHeight="1">
      <c r="B922" s="48"/>
    </row>
    <row r="923" ht="15.75" customHeight="1">
      <c r="B923" s="48"/>
    </row>
    <row r="924" ht="15.75" customHeight="1">
      <c r="B924" s="48"/>
    </row>
    <row r="925" ht="15.75" customHeight="1">
      <c r="B925" s="48"/>
    </row>
    <row r="926" ht="15.75" customHeight="1">
      <c r="B926" s="48"/>
    </row>
    <row r="927" ht="15.75" customHeight="1">
      <c r="B927" s="48"/>
    </row>
    <row r="928" ht="15.75" customHeight="1">
      <c r="B928" s="48"/>
    </row>
    <row r="929" ht="15.75" customHeight="1">
      <c r="B929" s="48"/>
    </row>
    <row r="930" ht="15.75" customHeight="1">
      <c r="B930" s="48"/>
    </row>
    <row r="931" ht="15.75" customHeight="1">
      <c r="B931" s="48"/>
    </row>
    <row r="932" ht="15.75" customHeight="1">
      <c r="B932" s="48"/>
    </row>
    <row r="933" ht="15.75" customHeight="1">
      <c r="B933" s="48"/>
    </row>
    <row r="934" ht="15.75" customHeight="1">
      <c r="B934" s="48"/>
    </row>
    <row r="935" ht="15.75" customHeight="1">
      <c r="B935" s="48"/>
    </row>
    <row r="936" ht="15.75" customHeight="1">
      <c r="B936" s="48"/>
    </row>
    <row r="937" ht="15.75" customHeight="1">
      <c r="B937" s="48"/>
    </row>
    <row r="938" ht="15.75" customHeight="1">
      <c r="B938" s="48"/>
    </row>
    <row r="939" ht="15.75" customHeight="1">
      <c r="B939" s="48"/>
    </row>
    <row r="940" ht="15.75" customHeight="1">
      <c r="B940" s="48"/>
    </row>
    <row r="941" ht="15.75" customHeight="1">
      <c r="B941" s="48"/>
    </row>
    <row r="942" ht="15.75" customHeight="1">
      <c r="B942" s="48"/>
    </row>
    <row r="943" ht="15.75" customHeight="1">
      <c r="B943" s="48"/>
    </row>
    <row r="944" ht="15.75" customHeight="1">
      <c r="B944" s="48"/>
    </row>
    <row r="945" ht="15.75" customHeight="1">
      <c r="B945" s="48"/>
    </row>
    <row r="946" ht="15.75" customHeight="1">
      <c r="B946" s="48"/>
    </row>
    <row r="947" ht="15.75" customHeight="1">
      <c r="B947" s="48"/>
    </row>
    <row r="948" ht="15.75" customHeight="1">
      <c r="B948" s="48"/>
    </row>
    <row r="949" ht="15.75" customHeight="1">
      <c r="B949" s="48"/>
    </row>
    <row r="950" ht="15.75" customHeight="1">
      <c r="B950" s="48"/>
    </row>
    <row r="951" ht="15.75" customHeight="1">
      <c r="B951" s="48"/>
    </row>
    <row r="952" ht="15.75" customHeight="1">
      <c r="B952" s="48"/>
    </row>
    <row r="953" ht="15.75" customHeight="1">
      <c r="B953" s="48"/>
    </row>
    <row r="954" ht="15.75" customHeight="1">
      <c r="B954" s="48"/>
    </row>
    <row r="955" ht="15.75" customHeight="1">
      <c r="B955" s="48"/>
    </row>
    <row r="956" ht="15.75" customHeight="1">
      <c r="B956" s="48"/>
    </row>
    <row r="957" ht="15.75" customHeight="1">
      <c r="B957" s="48"/>
    </row>
    <row r="958" ht="15.75" customHeight="1">
      <c r="B958" s="48"/>
    </row>
    <row r="959" ht="15.75" customHeight="1">
      <c r="B959" s="48"/>
    </row>
    <row r="960" ht="15.75" customHeight="1">
      <c r="B960" s="48"/>
    </row>
    <row r="961" ht="15.75" customHeight="1">
      <c r="B961" s="48"/>
    </row>
    <row r="962" ht="15.75" customHeight="1">
      <c r="B962" s="48"/>
    </row>
    <row r="963" ht="15.75" customHeight="1">
      <c r="B963" s="48"/>
    </row>
    <row r="964" ht="15.75" customHeight="1">
      <c r="B964" s="48"/>
    </row>
    <row r="965" ht="15.75" customHeight="1">
      <c r="B965" s="48"/>
    </row>
    <row r="966" ht="15.75" customHeight="1">
      <c r="B966" s="48"/>
    </row>
    <row r="967" ht="15.75" customHeight="1">
      <c r="B967" s="48"/>
    </row>
    <row r="968" ht="15.75" customHeight="1">
      <c r="B968" s="48"/>
    </row>
    <row r="969" ht="15.75" customHeight="1">
      <c r="B969" s="48"/>
    </row>
    <row r="970" ht="15.75" customHeight="1">
      <c r="B970" s="48"/>
    </row>
    <row r="971" ht="15.75" customHeight="1">
      <c r="B971" s="48"/>
    </row>
    <row r="972" ht="15.75" customHeight="1">
      <c r="B972" s="48"/>
    </row>
    <row r="973" ht="15.75" customHeight="1">
      <c r="B973" s="48"/>
    </row>
    <row r="974" ht="15.75" customHeight="1">
      <c r="B974" s="48"/>
    </row>
    <row r="975" ht="15.75" customHeight="1">
      <c r="B975" s="48"/>
    </row>
    <row r="976" ht="15.75" customHeight="1">
      <c r="B976" s="48"/>
    </row>
    <row r="977" ht="15.75" customHeight="1">
      <c r="B977" s="48"/>
    </row>
    <row r="978" ht="15.75" customHeight="1">
      <c r="B978" s="48"/>
    </row>
    <row r="979" ht="15.75" customHeight="1">
      <c r="B979" s="48"/>
    </row>
    <row r="980" ht="15.75" customHeight="1">
      <c r="B980" s="48"/>
    </row>
    <row r="981" ht="15.75" customHeight="1">
      <c r="B981" s="48"/>
    </row>
    <row r="982" ht="15.75" customHeight="1">
      <c r="B982" s="48"/>
    </row>
    <row r="983" ht="15.75" customHeight="1">
      <c r="B983" s="48"/>
    </row>
    <row r="984" ht="15.75" customHeight="1">
      <c r="B984" s="48"/>
    </row>
    <row r="985" ht="15.75" customHeight="1">
      <c r="B985" s="48"/>
    </row>
    <row r="986" ht="15.75" customHeight="1">
      <c r="B986" s="48"/>
    </row>
    <row r="987" ht="15.75" customHeight="1">
      <c r="B987" s="48"/>
    </row>
    <row r="988" ht="15.75" customHeight="1">
      <c r="B988" s="48"/>
    </row>
    <row r="989" ht="15.75" customHeight="1">
      <c r="B989" s="48"/>
    </row>
    <row r="990" ht="15.75" customHeight="1">
      <c r="B990" s="48"/>
    </row>
    <row r="991" ht="15.75" customHeight="1">
      <c r="B991" s="48"/>
    </row>
    <row r="992" ht="15.75" customHeight="1">
      <c r="B992" s="48"/>
    </row>
    <row r="993" ht="15.75" customHeight="1">
      <c r="B993" s="48"/>
    </row>
    <row r="994" ht="15.75" customHeight="1">
      <c r="B994" s="48"/>
    </row>
    <row r="995" ht="15.75" customHeight="1">
      <c r="B995" s="48"/>
    </row>
    <row r="996" ht="15.75" customHeight="1">
      <c r="B996" s="48"/>
    </row>
    <row r="997" ht="15.75" customHeight="1">
      <c r="B997" s="48"/>
    </row>
    <row r="998" ht="15.75" customHeight="1">
      <c r="B998" s="48"/>
    </row>
    <row r="999" ht="15.75" customHeight="1">
      <c r="B999" s="48"/>
    </row>
    <row r="1000" ht="15.75" customHeight="1">
      <c r="B1000" s="48"/>
    </row>
  </sheetData>
  <printOptions/>
  <pageMargins bottom="0.75" footer="0.0" header="0.0" left="0.7" right="0.7" top="0.75"/>
  <pageSetup orientation="landscape"/>
  <drawing r:id="rId1"/>
</worksheet>
</file>